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 Analyst\data Analyst Road\"/>
    </mc:Choice>
  </mc:AlternateContent>
  <xr:revisionPtr revIDLastSave="0" documentId="13_ncr:1_{4E56A264-BD71-441F-993F-C1E2EE45D860}" xr6:coauthVersionLast="47" xr6:coauthVersionMax="47" xr10:uidLastSave="{00000000-0000-0000-0000-000000000000}"/>
  <bookViews>
    <workbookView xWindow="-110" yWindow="-110" windowWidth="19420" windowHeight="10300" activeTab="3" xr2:uid="{5CA83A61-2C5D-4D64-938D-38AFC542EE0A}"/>
  </bookViews>
  <sheets>
    <sheet name="Data_Cleaning" sheetId="2" r:id="rId1"/>
    <sheet name="MIS_Report" sheetId="3" r:id="rId2"/>
    <sheet name="Pivot_Report" sheetId="4" r:id="rId3"/>
    <sheet name="Dashboard" sheetId="5" r:id="rId4"/>
  </sheets>
  <definedNames>
    <definedName name="_xlnm._FilterDatabase" localSheetId="0" hidden="1">Data_Cleaning!#REF!</definedName>
    <definedName name="Slicer_Employee_Names">#N/A</definedName>
    <definedName name="Slicer_Product">#N/A</definedName>
    <definedName name="Slicer_Region">#N/A</definedName>
    <definedName name="Slicer_Status">#N/A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3" l="1"/>
  <c r="F2" i="3"/>
  <c r="D2" i="3"/>
  <c r="C2" i="3"/>
  <c r="B2" i="3"/>
  <c r="A2" i="3"/>
  <c r="S4" i="2"/>
  <c r="B8" i="3"/>
  <c r="B9" i="3"/>
  <c r="B10" i="3"/>
  <c r="B11" i="3"/>
  <c r="B23" i="3"/>
  <c r="B24" i="3"/>
  <c r="B25" i="3"/>
  <c r="B26" i="3"/>
  <c r="B22" i="3"/>
  <c r="C16" i="3"/>
  <c r="C17" i="3"/>
  <c r="C18" i="3"/>
  <c r="C15" i="3"/>
  <c r="B16" i="3"/>
  <c r="B17" i="3"/>
  <c r="B18" i="3"/>
  <c r="B15" i="3"/>
  <c r="F8" i="3"/>
  <c r="F9" i="3"/>
  <c r="F10" i="3"/>
  <c r="F11" i="3"/>
  <c r="F7" i="3"/>
  <c r="E8" i="3"/>
  <c r="E9" i="3"/>
  <c r="E10" i="3"/>
  <c r="E11" i="3"/>
  <c r="E7" i="3"/>
  <c r="C8" i="3"/>
  <c r="C9" i="3"/>
  <c r="C10" i="3"/>
  <c r="C11" i="3"/>
  <c r="C7" i="3"/>
  <c r="B7" i="3"/>
  <c r="L2" i="2"/>
  <c r="L3" i="2"/>
  <c r="L4" i="2"/>
  <c r="L5" i="2"/>
  <c r="L6" i="2"/>
  <c r="L7" i="2"/>
  <c r="L8" i="2"/>
  <c r="L9" i="2"/>
  <c r="L10" i="2"/>
  <c r="L11" i="2"/>
  <c r="L12" i="2"/>
  <c r="L13" i="2"/>
  <c r="L14" i="2"/>
  <c r="L15" i="2"/>
  <c r="L16" i="2"/>
  <c r="L17" i="2"/>
  <c r="L18" i="2"/>
  <c r="O2" i="2"/>
  <c r="O3" i="2"/>
  <c r="O4" i="2"/>
  <c r="O5" i="2"/>
  <c r="O6" i="2"/>
  <c r="O7" i="2"/>
  <c r="O8" i="2"/>
  <c r="O9" i="2"/>
  <c r="O10" i="2"/>
  <c r="O11" i="2"/>
  <c r="O12" i="2"/>
  <c r="O13" i="2"/>
  <c r="O14" i="2"/>
  <c r="O15" i="2"/>
  <c r="O16" i="2"/>
  <c r="O17" i="2"/>
  <c r="O18" i="2"/>
  <c r="P2" i="2"/>
  <c r="P3" i="2"/>
  <c r="P4" i="2"/>
  <c r="P5" i="2"/>
  <c r="P6" i="2"/>
  <c r="P7" i="2"/>
  <c r="P8" i="2"/>
  <c r="P9" i="2"/>
  <c r="P10" i="2"/>
  <c r="P11" i="2"/>
  <c r="P12" i="2"/>
  <c r="P13" i="2"/>
  <c r="P14" i="2"/>
  <c r="P15" i="2"/>
  <c r="P16" i="2"/>
  <c r="P17" i="2"/>
  <c r="P18" i="2"/>
  <c r="N2" i="2"/>
  <c r="N3" i="2"/>
  <c r="N4" i="2"/>
  <c r="N5" i="2"/>
  <c r="N6" i="2"/>
  <c r="N7" i="2"/>
  <c r="N8" i="2"/>
  <c r="N9" i="2"/>
  <c r="N10" i="2"/>
  <c r="N11" i="2"/>
  <c r="N12" i="2"/>
  <c r="N13" i="2"/>
  <c r="N14" i="2"/>
  <c r="N15" i="2"/>
  <c r="N16" i="2"/>
  <c r="N17" i="2"/>
  <c r="N18" i="2"/>
  <c r="M2" i="2"/>
  <c r="M3" i="2"/>
  <c r="M4" i="2"/>
  <c r="M5" i="2"/>
  <c r="M6" i="2"/>
  <c r="M7" i="2"/>
  <c r="M8" i="2"/>
  <c r="M9" i="2"/>
  <c r="M10" i="2"/>
  <c r="M11" i="2"/>
  <c r="M12" i="2"/>
  <c r="M13" i="2"/>
  <c r="M14" i="2"/>
  <c r="M15" i="2"/>
  <c r="M16" i="2"/>
  <c r="M17" i="2"/>
  <c r="M18" i="2"/>
  <c r="Q12" i="2" l="1"/>
  <c r="Q11" i="2"/>
  <c r="Q2" i="2"/>
  <c r="Q17" i="2"/>
  <c r="Q18" i="2"/>
  <c r="Q9" i="2"/>
  <c r="Q10" i="2"/>
  <c r="Q14" i="2"/>
  <c r="Q6" i="2"/>
  <c r="Q13" i="2"/>
  <c r="Q5" i="2"/>
  <c r="D15" i="3"/>
  <c r="Q3" i="2"/>
  <c r="D17" i="3"/>
  <c r="Q15" i="2"/>
  <c r="Q7" i="2"/>
  <c r="Q16" i="2"/>
  <c r="Q8" i="2"/>
  <c r="Q4" i="2"/>
  <c r="D18" i="3"/>
  <c r="D7" i="3"/>
  <c r="D16" i="3"/>
  <c r="D11" i="3"/>
  <c r="D8" i="3"/>
  <c r="D10" i="3"/>
  <c r="D9" i="3"/>
</calcChain>
</file>

<file path=xl/sharedStrings.xml><?xml version="1.0" encoding="utf-8"?>
<sst xmlns="http://schemas.openxmlformats.org/spreadsheetml/2006/main" count="233" uniqueCount="96">
  <si>
    <t>Date</t>
  </si>
  <si>
    <t>Employee ID</t>
  </si>
  <si>
    <t>Department</t>
  </si>
  <si>
    <t>Region</t>
  </si>
  <si>
    <t>Product</t>
  </si>
  <si>
    <t>Customer</t>
  </si>
  <si>
    <t>Sales</t>
  </si>
  <si>
    <t>Target</t>
  </si>
  <si>
    <t>Orders</t>
  </si>
  <si>
    <t>Status</t>
  </si>
  <si>
    <t>E001</t>
  </si>
  <si>
    <t>Rahul Sharma</t>
  </si>
  <si>
    <t>West</t>
  </si>
  <si>
    <t>Laptop</t>
  </si>
  <si>
    <t>Completed</t>
  </si>
  <si>
    <t>E002</t>
  </si>
  <si>
    <t>Priya Patil</t>
  </si>
  <si>
    <t>Monitor</t>
  </si>
  <si>
    <t>E003</t>
  </si>
  <si>
    <t>Amit Verma</t>
  </si>
  <si>
    <t>North</t>
  </si>
  <si>
    <t>Keyboard</t>
  </si>
  <si>
    <t>E004</t>
  </si>
  <si>
    <t>Sneha Joshi</t>
  </si>
  <si>
    <t>South</t>
  </si>
  <si>
    <t>E005</t>
  </si>
  <si>
    <t>Rohit Singh</t>
  </si>
  <si>
    <t>East</t>
  </si>
  <si>
    <t>Mouse</t>
  </si>
  <si>
    <t>Pending</t>
  </si>
  <si>
    <t>Printer</t>
  </si>
  <si>
    <t>Alpha Ltd</t>
  </si>
  <si>
    <t>Zenith Pvt Ltd</t>
  </si>
  <si>
    <t>Nova Tech</t>
  </si>
  <si>
    <t>Prime Solutions</t>
  </si>
  <si>
    <t>Future Tech</t>
  </si>
  <si>
    <t>Smart Systems</t>
  </si>
  <si>
    <t>Galaxy Ltd</t>
  </si>
  <si>
    <t>Vision Corp</t>
  </si>
  <si>
    <t>Digital India</t>
  </si>
  <si>
    <t>Web Solutions</t>
  </si>
  <si>
    <t>Core Systems</t>
  </si>
  <si>
    <t>Apex Ltd</t>
  </si>
  <si>
    <t>NextGen Corp</t>
  </si>
  <si>
    <t>Global Systems</t>
  </si>
  <si>
    <t>Elite Tech</t>
  </si>
  <si>
    <t>Omega Ltd</t>
  </si>
  <si>
    <t>Vertex Corp</t>
  </si>
  <si>
    <t>Achievement %</t>
  </si>
  <si>
    <t>Performance</t>
  </si>
  <si>
    <t>Employee Names</t>
  </si>
  <si>
    <t>Status Check</t>
  </si>
  <si>
    <t>Sales Check</t>
  </si>
  <si>
    <t>Target Check</t>
  </si>
  <si>
    <t>Data Check</t>
  </si>
  <si>
    <t xml:space="preserve">Total Sales </t>
  </si>
  <si>
    <t xml:space="preserve">Total Target </t>
  </si>
  <si>
    <t>Total orders</t>
  </si>
  <si>
    <t>Achievment %</t>
  </si>
  <si>
    <t>Completed  Orders</t>
  </si>
  <si>
    <t xml:space="preserve">Pending Orders </t>
  </si>
  <si>
    <t>Employee</t>
  </si>
  <si>
    <t>Completed Records</t>
  </si>
  <si>
    <t>Region-wise MIS</t>
  </si>
  <si>
    <t>Total Sales</t>
  </si>
  <si>
    <t>Grand Total</t>
  </si>
  <si>
    <t>Sum of Sales</t>
  </si>
  <si>
    <t>13/09/2026</t>
  </si>
  <si>
    <t>14/09/2026</t>
  </si>
  <si>
    <t>15/09/2026</t>
  </si>
  <si>
    <t>16/09/2026</t>
  </si>
  <si>
    <t>17/09/2026</t>
  </si>
  <si>
    <t>18/09/2026</t>
  </si>
  <si>
    <t>19/09/2026</t>
  </si>
  <si>
    <t>20/09/2026</t>
  </si>
  <si>
    <t>21/09/2026</t>
  </si>
  <si>
    <t>22/09/2026</t>
  </si>
  <si>
    <t>23/09/2026</t>
  </si>
  <si>
    <t>24/09/2026</t>
  </si>
  <si>
    <t>25/09/2026</t>
  </si>
  <si>
    <t>26/09/2026</t>
  </si>
  <si>
    <t>27/09/2026</t>
  </si>
  <si>
    <t>28/09/2026</t>
  </si>
  <si>
    <t>29/09/2026</t>
  </si>
  <si>
    <t>Employee Performance Report</t>
  </si>
  <si>
    <t>Product Performance</t>
  </si>
  <si>
    <t>SALES PERFORMANCE DASHBOARD</t>
  </si>
  <si>
    <t>MIS Executive Project | September–October 2026</t>
  </si>
  <si>
    <t>Total Target</t>
  </si>
  <si>
    <t>Total Orders</t>
  </si>
  <si>
    <t>Total  Achievement %</t>
  </si>
  <si>
    <t xml:space="preserve">Date - Wise Sales </t>
  </si>
  <si>
    <t xml:space="preserve">Status - Sales </t>
  </si>
  <si>
    <t>Region - Wise Sale s</t>
  </si>
  <si>
    <t xml:space="preserve">Products - Wise sales </t>
  </si>
  <si>
    <t xml:space="preserve">Employees - Wise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</si>
</sst>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dd/mm/yyyy"/>
    <numFmt numFmtId="166"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9"/>
      <color theme="1"/>
      <name val="Aptos Narrow"/>
      <family val="2"/>
      <scheme val="minor"/>
    </font>
    <font>
      <sz val="16"/>
      <color theme="1"/>
      <name val="Aptos Narrow"/>
      <family val="2"/>
      <scheme val="minor"/>
    </font>
    <font>
      <sz val="9"/>
      <color theme="1"/>
      <name val="Aptos Narrow"/>
      <family val="2"/>
      <scheme val="minor"/>
    </font>
    <font>
      <b/>
      <sz val="2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53">
    <xf numFmtId="0" fontId="0" fillId="0" borderId="0" xfId="0"/>
    <xf numFmtId="0" fontId="0" fillId="0" borderId="0" xfId="0" applyAlignment="1">
      <alignment horizontal="center"/>
    </xf>
    <xf numFmtId="0" fontId="2" fillId="0" borderId="0" xfId="0" applyFont="1" applyAlignment="1">
      <alignment horizontal="center"/>
    </xf>
    <xf numFmtId="0" fontId="0" fillId="0" borderId="1" xfId="0" applyBorder="1" applyAlignment="1">
      <alignment horizontal="center"/>
    </xf>
    <xf numFmtId="0" fontId="2" fillId="2" borderId="1" xfId="0" applyFont="1" applyFill="1" applyBorder="1" applyAlignment="1">
      <alignment horizontal="center"/>
    </xf>
    <xf numFmtId="164" fontId="0" fillId="0" borderId="0" xfId="0" applyNumberFormat="1" applyAlignment="1">
      <alignment horizontal="center"/>
    </xf>
    <xf numFmtId="164" fontId="0" fillId="0" borderId="0" xfId="0" applyNumberFormat="1"/>
    <xf numFmtId="0" fontId="0" fillId="0" borderId="0" xfId="0" applyNumberFormat="1" applyAlignment="1">
      <alignment horizontal="center"/>
    </xf>
    <xf numFmtId="0" fontId="0" fillId="0" borderId="0" xfId="0" applyNumberFormat="1"/>
    <xf numFmtId="1" fontId="0" fillId="0" borderId="0" xfId="0" applyNumberFormat="1" applyAlignment="1">
      <alignment horizontal="center"/>
    </xf>
    <xf numFmtId="1" fontId="0" fillId="0" borderId="0" xfId="0" applyNumberFormat="1"/>
    <xf numFmtId="164" fontId="2" fillId="0" borderId="0" xfId="0" applyNumberFormat="1" applyFont="1" applyAlignment="1">
      <alignment horizontal="center"/>
    </xf>
    <xf numFmtId="1" fontId="2" fillId="0" borderId="0" xfId="0" applyNumberFormat="1" applyFont="1" applyAlignment="1">
      <alignment horizontal="center"/>
    </xf>
    <xf numFmtId="9" fontId="0" fillId="0" borderId="0" xfId="1" applyFont="1" applyAlignment="1">
      <alignment horizontal="center"/>
    </xf>
    <xf numFmtId="9" fontId="2" fillId="0" borderId="0" xfId="1" applyFont="1" applyAlignment="1">
      <alignment horizontal="center"/>
    </xf>
    <xf numFmtId="9" fontId="0" fillId="0" borderId="0" xfId="1" applyFont="1"/>
    <xf numFmtId="1" fontId="0" fillId="0" borderId="1" xfId="0" applyNumberFormat="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164" fontId="0" fillId="0" borderId="0" xfId="0" applyNumberFormat="1" applyBorder="1" applyAlignment="1">
      <alignment horizontal="center"/>
    </xf>
    <xf numFmtId="1" fontId="0" fillId="0" borderId="0" xfId="0" applyNumberFormat="1" applyBorder="1" applyAlignment="1">
      <alignment horizontal="center"/>
    </xf>
    <xf numFmtId="2" fontId="0" fillId="0" borderId="0" xfId="0" applyNumberFormat="1" applyBorder="1" applyAlignment="1">
      <alignment horizontal="center"/>
    </xf>
    <xf numFmtId="0" fontId="0" fillId="0" borderId="0" xfId="0"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0" fontId="0" fillId="0" borderId="0" xfId="0" pivotButton="1"/>
    <xf numFmtId="0" fontId="0" fillId="0" borderId="0" xfId="0" applyAlignment="1">
      <alignment horizontal="left"/>
    </xf>
    <xf numFmtId="165" fontId="2" fillId="0" borderId="0" xfId="0" applyNumberFormat="1" applyFont="1" applyAlignment="1">
      <alignment horizontal="center"/>
    </xf>
    <xf numFmtId="165" fontId="0" fillId="0" borderId="0" xfId="0" applyNumberFormat="1"/>
    <xf numFmtId="0" fontId="4" fillId="0" borderId="0" xfId="0" applyFont="1" applyAlignment="1">
      <alignment vertical="center"/>
    </xf>
    <xf numFmtId="0" fontId="5" fillId="0" borderId="0" xfId="0" applyFont="1" applyAlignment="1">
      <alignment vertical="center"/>
    </xf>
    <xf numFmtId="0" fontId="5" fillId="0" borderId="0" xfId="0" applyFont="1" applyBorder="1" applyAlignment="1">
      <alignment horizontal="center" vertical="center"/>
    </xf>
    <xf numFmtId="0" fontId="2" fillId="0" borderId="0" xfId="0" applyFont="1"/>
    <xf numFmtId="0" fontId="4" fillId="0" borderId="0" xfId="0" applyFont="1" applyAlignment="1">
      <alignment horizontal="center"/>
    </xf>
    <xf numFmtId="0" fontId="4" fillId="0" borderId="0" xfId="0" applyNumberFormat="1" applyFont="1" applyAlignment="1">
      <alignment horizontal="center"/>
    </xf>
    <xf numFmtId="0" fontId="6" fillId="0" borderId="4" xfId="0" applyFont="1" applyBorder="1" applyAlignment="1">
      <alignment horizontal="center" vertical="center"/>
    </xf>
    <xf numFmtId="0" fontId="6" fillId="0" borderId="4" xfId="0" applyNumberFormat="1" applyFont="1" applyBorder="1" applyAlignment="1">
      <alignment horizontal="center" vertical="center"/>
    </xf>
    <xf numFmtId="0" fontId="4" fillId="0" borderId="0" xfId="0" applyFont="1" applyBorder="1" applyAlignment="1">
      <alignment horizontal="center"/>
    </xf>
    <xf numFmtId="0" fontId="4" fillId="0" borderId="0" xfId="0" applyNumberFormat="1" applyFont="1" applyBorder="1" applyAlignment="1">
      <alignment horizontal="center"/>
    </xf>
    <xf numFmtId="166" fontId="6" fillId="0" borderId="4" xfId="0" applyNumberFormat="1" applyFont="1" applyBorder="1" applyAlignment="1">
      <alignment horizontal="center" vertical="center"/>
    </xf>
    <xf numFmtId="0" fontId="4" fillId="0" borderId="4" xfId="0" applyNumberFormat="1" applyFont="1" applyBorder="1" applyAlignment="1">
      <alignment horizontal="center"/>
    </xf>
    <xf numFmtId="0" fontId="4" fillId="0" borderId="4" xfId="0" applyFont="1" applyBorder="1" applyAlignment="1">
      <alignment horizontal="center"/>
    </xf>
    <xf numFmtId="0" fontId="5" fillId="0" borderId="0" xfId="0" applyFont="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center"/>
    </xf>
    <xf numFmtId="0" fontId="2" fillId="2" borderId="0" xfId="0" applyFont="1" applyFill="1" applyAlignment="1">
      <alignment horizontal="center"/>
    </xf>
    <xf numFmtId="0" fontId="7" fillId="0" borderId="0" xfId="0" applyFont="1" applyBorder="1" applyAlignment="1">
      <alignment horizontal="center" vertical="center"/>
    </xf>
    <xf numFmtId="0" fontId="8" fillId="2" borderId="0" xfId="0" applyFont="1" applyFill="1" applyAlignment="1">
      <alignment horizontal="center" vertical="center"/>
    </xf>
    <xf numFmtId="0" fontId="9" fillId="2" borderId="0" xfId="0" applyFont="1" applyFill="1" applyBorder="1" applyAlignment="1">
      <alignment horizontal="center" vertical="center"/>
    </xf>
  </cellXfs>
  <cellStyles count="2">
    <cellStyle name="Normal" xfId="0" builtinId="0"/>
    <cellStyle name="Percent" xfId="1" builtinId="5"/>
  </cellStyles>
  <dxfs count="699">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numFmt numFmtId="166" formatCode="0.0"/>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4"/>
      </font>
      <alignment horizontal="center"/>
    </dxf>
    <dxf>
      <font>
        <b/>
        <sz val="14"/>
      </font>
      <alignment horizontal="center"/>
    </dxf>
    <dxf>
      <alignment horizontal="center"/>
    </dxf>
    <dxf>
      <alignment horizontal="center"/>
    </dxf>
    <dxf>
      <alignment horizontal="center"/>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font>
        <sz val="16"/>
      </font>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sz val="14"/>
      </font>
      <alignment horizontal="center"/>
    </dxf>
    <dxf>
      <font>
        <b/>
        <sz val="14"/>
      </fon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b/>
      </font>
    </dxf>
    <dxf>
      <font>
        <b/>
      </font>
    </dxf>
    <dxf>
      <font>
        <b/>
      </font>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[Akshay_Jadhav_Sales_MIS_Dashboard.xlsx]Pivot_Report!PivotTable11</c:name>
    <c:fmtId val="3"/>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Daily  Sales</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Pivot_Report!$H$5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Pivot_Report!$G$6:$G$16</c:f>
              <c:strCache>
                <c:ptCount val="10"/>
                <c:pt idx="0">
                  <c:v>14/09/2026</c:v>
                </c:pt>
                <c:pt idx="1">
                  <c:v>15/09/2026</c:v>
                </c:pt>
                <c:pt idx="2">
                  <c:v>16/09/2026</c:v>
                </c:pt>
                <c:pt idx="3">
                  <c:v>19/09/2026</c:v>
                </c:pt>
                <c:pt idx="4">
                  <c:v>21/09/2026</c:v>
                </c:pt>
                <c:pt idx="5">
                  <c:v>23/09/2026</c:v>
                </c:pt>
                <c:pt idx="6">
                  <c:v>24/09/2026</c:v>
                </c:pt>
                <c:pt idx="7">
                  <c:v>25/09/2026</c:v>
                </c:pt>
                <c:pt idx="8">
                  <c:v>26/09/2026</c:v>
                </c:pt>
                <c:pt idx="9">
                  <c:v>27/09/2026</c:v>
                </c:pt>
              </c:strCache>
            </c:strRef>
          </c:cat>
          <c:val>
            <c:numRef>
              <c:f>Pivot_Report!$H$6:$H$16</c:f>
              <c:numCache>
                <c:formatCode>General</c:formatCode>
                <c:ptCount val="10"/>
                <c:pt idx="0">
                  <c:v>58000</c:v>
                </c:pt>
                <c:pt idx="1">
                  <c:v>62000</c:v>
                </c:pt>
                <c:pt idx="2">
                  <c:v>130000</c:v>
                </c:pt>
                <c:pt idx="3">
                  <c:v>75000</c:v>
                </c:pt>
                <c:pt idx="4">
                  <c:v>68000</c:v>
                </c:pt>
                <c:pt idx="5">
                  <c:v>72000</c:v>
                </c:pt>
                <c:pt idx="6">
                  <c:v>125000</c:v>
                </c:pt>
                <c:pt idx="7">
                  <c:v>26000</c:v>
                </c:pt>
                <c:pt idx="8">
                  <c:v>78000</c:v>
                </c:pt>
                <c:pt idx="9">
                  <c:v>115000</c:v>
                </c:pt>
              </c:numCache>
            </c:numRef>
          </c:val>
          <c:extLst>
            <c:ext xmlns:c16="http://schemas.microsoft.com/office/drawing/2014/chart" uri="{C3380CC4-5D6E-409C-BE32-E72D297353CC}">
              <c16:uniqueId val="{00000000-F18D-40BA-8BE9-97060EF40DCA}"/>
            </c:ext>
          </c:extLst>
        </c:ser>
        <c:dLbls>
          <c:dLblPos val="inEnd"/>
          <c:showLegendKey val="0"/>
          <c:showVal val="1"/>
          <c:showCatName val="0"/>
          <c:showSerName val="0"/>
          <c:showPercent val="0"/>
          <c:showBubbleSize val="0"/>
        </c:dLbls>
        <c:gapWidth val="41"/>
        <c:axId val="1311133424"/>
        <c:axId val="1311128624"/>
      </c:barChart>
      <c:catAx>
        <c:axId val="131113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11128624"/>
        <c:crosses val="autoZero"/>
        <c:auto val="1"/>
        <c:lblAlgn val="ctr"/>
        <c:lblOffset val="100"/>
        <c:noMultiLvlLbl val="0"/>
      </c:catAx>
      <c:valAx>
        <c:axId val="1311128624"/>
        <c:scaling>
          <c:orientation val="minMax"/>
        </c:scaling>
        <c:delete val="1"/>
        <c:axPos val="l"/>
        <c:numFmt formatCode="General" sourceLinked="1"/>
        <c:majorTickMark val="none"/>
        <c:minorTickMark val="none"/>
        <c:tickLblPos val="nextTo"/>
        <c:crossAx val="131113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[Akshay_Jadhav_Sales_MIS_Dashboard.xlsx]Pivot_Report!PivotTable7</c:name>
    <c:fmtId val="5"/>
  </c:pivotSource>
  <c:chart>
    <c:title>
      <c:tx>
        <c:rich>
          <a:bodyPr rot="0" spcFirstLastPara="1" vertOverflow="ellipsis" vert="horz" wrap="square" anchor="ctr" anchorCtr="1"/>
          <a:lstStyle/>
          <a:p>
            <a:pPr>
              <a:defRPr lang="en-US" sz="900" b="1" i="0" u="none" strike="noStrike" kern="1200" cap="all" spc="120" normalizeH="0" baseline="0">
                <a:solidFill>
                  <a:schemeClr val="dk1"/>
                </a:solidFill>
                <a:latin typeface="+mn-lt"/>
                <a:ea typeface="+mn-ea"/>
                <a:cs typeface="+mn-cs"/>
              </a:defRPr>
            </a:pPr>
            <a:r>
              <a:rPr lang="en-US" sz="900" b="1" i="0" u="none" strike="noStrike" kern="1200" baseline="0">
                <a:solidFill>
                  <a:schemeClr val="dk1"/>
                </a:solidFill>
                <a:latin typeface="+mn-lt"/>
                <a:ea typeface="+mn-ea"/>
                <a:cs typeface="+mn-cs"/>
              </a:rPr>
              <a:t>Employee-Wise Sales</a:t>
            </a:r>
          </a:p>
        </c:rich>
      </c:tx>
      <c:overlay val="0"/>
      <c:spPr>
        <a:noFill/>
        <a:ln>
          <a:noFill/>
        </a:ln>
        <a:effectLst/>
      </c:spPr>
      <c:txPr>
        <a:bodyPr rot="0" spcFirstLastPara="1" vertOverflow="ellipsis" vert="horz" wrap="square" anchor="ctr" anchorCtr="1"/>
        <a:lstStyle/>
        <a:p>
          <a:pPr>
            <a:defRPr lang="en-US" sz="900" b="1" i="0" u="none" strike="noStrike" kern="1200" cap="all" spc="12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Pivot_Report!$B$5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Pivot_Report!$A$6:$A$11</c:f>
              <c:strCache>
                <c:ptCount val="5"/>
                <c:pt idx="0">
                  <c:v>Amit Verma</c:v>
                </c:pt>
                <c:pt idx="1">
                  <c:v>Priya Patil</c:v>
                </c:pt>
                <c:pt idx="2">
                  <c:v>Rahul Sharma</c:v>
                </c:pt>
                <c:pt idx="3">
                  <c:v>Rohit Singh</c:v>
                </c:pt>
                <c:pt idx="4">
                  <c:v>Sneha Joshi</c:v>
                </c:pt>
              </c:strCache>
            </c:strRef>
          </c:cat>
          <c:val>
            <c:numRef>
              <c:f>Pivot_Report!$B$6:$B$11</c:f>
              <c:numCache>
                <c:formatCode>General</c:formatCode>
                <c:ptCount val="5"/>
                <c:pt idx="0">
                  <c:v>72000</c:v>
                </c:pt>
                <c:pt idx="1">
                  <c:v>115000</c:v>
                </c:pt>
                <c:pt idx="2">
                  <c:v>276000</c:v>
                </c:pt>
                <c:pt idx="3">
                  <c:v>88000</c:v>
                </c:pt>
                <c:pt idx="4">
                  <c:v>258000</c:v>
                </c:pt>
              </c:numCache>
            </c:numRef>
          </c:val>
          <c:extLst>
            <c:ext xmlns:c16="http://schemas.microsoft.com/office/drawing/2014/chart" uri="{C3380CC4-5D6E-409C-BE32-E72D297353CC}">
              <c16:uniqueId val="{00000000-0A8C-4594-B4CF-2F40D2EDC2D4}"/>
            </c:ext>
          </c:extLst>
        </c:ser>
        <c:dLbls>
          <c:dLblPos val="ctr"/>
          <c:showLegendKey val="0"/>
          <c:showVal val="1"/>
          <c:showCatName val="0"/>
          <c:showSerName val="0"/>
          <c:showPercent val="0"/>
          <c:showBubbleSize val="0"/>
        </c:dLbls>
        <c:gapWidth val="79"/>
        <c:overlap val="100"/>
        <c:axId val="1311127664"/>
        <c:axId val="1311132944"/>
      </c:barChart>
      <c:catAx>
        <c:axId val="131112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1132944"/>
        <c:crosses val="autoZero"/>
        <c:auto val="1"/>
        <c:lblAlgn val="ctr"/>
        <c:lblOffset val="100"/>
        <c:noMultiLvlLbl val="0"/>
      </c:catAx>
      <c:valAx>
        <c:axId val="1311132944"/>
        <c:scaling>
          <c:orientation val="minMax"/>
        </c:scaling>
        <c:delete val="1"/>
        <c:axPos val="l"/>
        <c:numFmt formatCode="General" sourceLinked="1"/>
        <c:majorTickMark val="none"/>
        <c:minorTickMark val="none"/>
        <c:tickLblPos val="nextTo"/>
        <c:crossAx val="13111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[Akshay_Jadhav_Sales_MIS_Dashboard.xlsx]Pivot_Report!PivotTable12</c:name>
    <c:fmtId val="3"/>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Region Wise Sales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Pivot_Report!$J$12:$J$16</c:f>
              <c:strCache>
                <c:ptCount val="4"/>
                <c:pt idx="0">
                  <c:v>East</c:v>
                </c:pt>
                <c:pt idx="1">
                  <c:v>North</c:v>
                </c:pt>
                <c:pt idx="2">
                  <c:v>South</c:v>
                </c:pt>
                <c:pt idx="3">
                  <c:v>West</c:v>
                </c:pt>
              </c:strCache>
            </c:strRef>
          </c:cat>
          <c:val>
            <c:numRef>
              <c:f>Pivot_Report!$K$12:$K$16</c:f>
              <c:numCache>
                <c:formatCode>General</c:formatCode>
                <c:ptCount val="4"/>
                <c:pt idx="0">
                  <c:v>88000</c:v>
                </c:pt>
                <c:pt idx="1">
                  <c:v>72000</c:v>
                </c:pt>
                <c:pt idx="2">
                  <c:v>258000</c:v>
                </c:pt>
                <c:pt idx="3">
                  <c:v>391000</c:v>
                </c:pt>
              </c:numCache>
            </c:numRef>
          </c:val>
          <c:extLst>
            <c:ext xmlns:c16="http://schemas.microsoft.com/office/drawing/2014/chart" uri="{C3380CC4-5D6E-409C-BE32-E72D297353CC}">
              <c16:uniqueId val="{00000000-7535-40DA-92E1-0EC5163F07B7}"/>
            </c:ext>
          </c:extLst>
        </c:ser>
        <c:dLbls>
          <c:dLblPos val="outEnd"/>
          <c:showLegendKey val="0"/>
          <c:showVal val="1"/>
          <c:showCatName val="0"/>
          <c:showSerName val="0"/>
          <c:showPercent val="0"/>
          <c:showBubbleSize val="0"/>
        </c:dLbls>
        <c:gapWidth val="219"/>
        <c:axId val="870296144"/>
        <c:axId val="870297104"/>
      </c:barChart>
      <c:catAx>
        <c:axId val="8702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870297104"/>
        <c:crosses val="autoZero"/>
        <c:auto val="1"/>
        <c:lblAlgn val="ctr"/>
        <c:lblOffset val="100"/>
        <c:noMultiLvlLbl val="0"/>
      </c:catAx>
      <c:valAx>
        <c:axId val="87029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87029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[Akshay_Jadhav_Sales_MIS_Dashboard.xlsx]Pivot_Report!PivotTable8</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 - Wise Sales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3705515152392"/>
          <c:y val="0.21579478913163072"/>
          <c:w val="0.80405727565480856"/>
          <c:h val="0.55270498462188777"/>
        </c:manualLayout>
      </c:layout>
      <c:barChart>
        <c:barDir val="bar"/>
        <c:grouping val="stacked"/>
        <c:varyColors val="0"/>
        <c:ser>
          <c:idx val="0"/>
          <c:order val="0"/>
          <c:tx>
            <c:strRef>
              <c:f>Pivot_Report!$E$5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Pivot_Report!$D$6:$D$10</c:f>
              <c:strCache>
                <c:ptCount val="4"/>
                <c:pt idx="0">
                  <c:v>Keyboard</c:v>
                </c:pt>
                <c:pt idx="1">
                  <c:v>Laptop</c:v>
                </c:pt>
                <c:pt idx="2">
                  <c:v>Monitor</c:v>
                </c:pt>
                <c:pt idx="3">
                  <c:v>Printer</c:v>
                </c:pt>
              </c:strCache>
            </c:strRef>
          </c:cat>
          <c:val>
            <c:numRef>
              <c:f>Pivot_Report!$E$6:$E$10</c:f>
              <c:numCache>
                <c:formatCode>General</c:formatCode>
                <c:ptCount val="4"/>
                <c:pt idx="0">
                  <c:v>26000</c:v>
                </c:pt>
                <c:pt idx="1">
                  <c:v>370000</c:v>
                </c:pt>
                <c:pt idx="2">
                  <c:v>126000</c:v>
                </c:pt>
                <c:pt idx="3">
                  <c:v>287000</c:v>
                </c:pt>
              </c:numCache>
            </c:numRef>
          </c:val>
          <c:extLst>
            <c:ext xmlns:c16="http://schemas.microsoft.com/office/drawing/2014/chart" uri="{C3380CC4-5D6E-409C-BE32-E72D297353CC}">
              <c16:uniqueId val="{00000000-8B4B-4597-97FE-B99C572F3E6E}"/>
            </c:ext>
          </c:extLst>
        </c:ser>
        <c:dLbls>
          <c:dLblPos val="ctr"/>
          <c:showLegendKey val="0"/>
          <c:showVal val="1"/>
          <c:showCatName val="0"/>
          <c:showSerName val="0"/>
          <c:showPercent val="0"/>
          <c:showBubbleSize val="0"/>
        </c:dLbls>
        <c:gapWidth val="79"/>
        <c:overlap val="100"/>
        <c:axId val="1311124304"/>
        <c:axId val="1304098336"/>
      </c:barChart>
      <c:catAx>
        <c:axId val="131112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4098336"/>
        <c:crosses val="autoZero"/>
        <c:auto val="1"/>
        <c:lblAlgn val="ctr"/>
        <c:lblOffset val="100"/>
        <c:noMultiLvlLbl val="0"/>
      </c:catAx>
      <c:valAx>
        <c:axId val="1304098336"/>
        <c:scaling>
          <c:orientation val="minMax"/>
        </c:scaling>
        <c:delete val="1"/>
        <c:axPos val="b"/>
        <c:numFmt formatCode="General" sourceLinked="1"/>
        <c:majorTickMark val="none"/>
        <c:minorTickMark val="none"/>
        <c:tickLblPos val="nextTo"/>
        <c:crossAx val="131112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[Akshay_Jadhav_Sales_MIS_Dashboard.xlsx]Pivot_Report!PivotTable10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998799755758158"/>
          <c:y val="0.22132258125988555"/>
          <c:w val="0.42802165980376045"/>
          <c:h val="0.72624041619290214"/>
        </c:manualLayout>
      </c:layout>
      <c:doughnutChart>
        <c:varyColors val="1"/>
        <c:ser>
          <c:idx val="0"/>
          <c:order val="0"/>
          <c:tx>
            <c:strRef>
              <c:f>Pivot_Report!$K$5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85-48D8-9D86-87ED5621C7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85-48D8-9D86-87ED5621C7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Pivot_Report!$J$6:$J$7</c:f>
              <c:strCache>
                <c:ptCount val="1"/>
                <c:pt idx="0">
                  <c:v>Completed</c:v>
                </c:pt>
              </c:strCache>
            </c:strRef>
          </c:cat>
          <c:val>
            <c:numRef>
              <c:f>Pivot_Report!$K$6:$K$7</c:f>
              <c:numCache>
                <c:formatCode>General</c:formatCode>
                <c:ptCount val="1"/>
                <c:pt idx="0">
                  <c:v>809000</c:v>
                </c:pt>
              </c:numCache>
            </c:numRef>
          </c:val>
          <c:extLst>
            <c:ext xmlns:c16="http://schemas.microsoft.com/office/drawing/2014/chart" uri="{C3380CC4-5D6E-409C-BE32-E72D297353CC}">
              <c16:uniqueId val="{00000000-F784-4969-A224-A094B42E03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596903</xdr:colOff>
      <xdr:row>0</xdr:row>
      <xdr:rowOff>6349</xdr:rowOff>
    </xdr:from>
    <xdr:to>
      <xdr:col>13</xdr:col>
      <xdr:colOff>113976</xdr:colOff>
      <xdr:row>70</xdr:row>
      <xdr:rowOff>57728</xdr:rowOff>
    </xdr:to>
    <xdr:sp macro="" textlink="">
      <xdr:nvSpPr>
        <xdr:cNvPr id="2" name="Rectangle 1">
          <a:extLst>
            <a:ext uri="{FF2B5EF4-FFF2-40B4-BE49-F238E27FC236}">
              <a16:creationId xmlns:a16="http://schemas.microsoft.com/office/drawing/2014/main" id="{0CED88FD-8666-0A08-9627-3029C608539B}"/>
            </a:ext>
          </a:extLst>
        </xdr:cNvPr>
        <xdr:cNvSpPr/>
      </xdr:nvSpPr>
      <xdr:spPr>
        <a:xfrm>
          <a:off x="596903" y="6349"/>
          <a:ext cx="13948891" cy="1386744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xdr:colOff>
      <xdr:row>7</xdr:row>
      <xdr:rowOff>45357</xdr:rowOff>
    </xdr:from>
    <xdr:to>
      <xdr:col>9</xdr:col>
      <xdr:colOff>37353</xdr:colOff>
      <xdr:row>29</xdr:row>
      <xdr:rowOff>57727</xdr:rowOff>
    </xdr:to>
    <xdr:graphicFrame macro="">
      <xdr:nvGraphicFramePr>
        <xdr:cNvPr id="3" name="Chart 2">
          <a:extLst>
            <a:ext uri="{FF2B5EF4-FFF2-40B4-BE49-F238E27FC236}">
              <a16:creationId xmlns:a16="http://schemas.microsoft.com/office/drawing/2014/main" id="{89100EEE-4201-4F37-A3D6-D4C425A6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12452</xdr:colOff>
      <xdr:row>29</xdr:row>
      <xdr:rowOff>184994</xdr:rowOff>
    </xdr:from>
    <xdr:to>
      <xdr:col>9</xdr:col>
      <xdr:colOff>63811</xdr:colOff>
      <xdr:row>46</xdr:row>
      <xdr:rowOff>1980</xdr:rowOff>
    </xdr:to>
    <xdr:graphicFrame macro="">
      <xdr:nvGraphicFramePr>
        <xdr:cNvPr id="4" name="Chart 3">
          <a:extLst>
            <a:ext uri="{FF2B5EF4-FFF2-40B4-BE49-F238E27FC236}">
              <a16:creationId xmlns:a16="http://schemas.microsoft.com/office/drawing/2014/main" id="{EF491041-AC6F-40DC-81C2-3CF92D827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562427</xdr:colOff>
      <xdr:row>29</xdr:row>
      <xdr:rowOff>173182</xdr:rowOff>
    </xdr:from>
    <xdr:to>
      <xdr:col>5</xdr:col>
      <xdr:colOff>821764</xdr:colOff>
      <xdr:row>46</xdr:row>
      <xdr:rowOff>19087</xdr:rowOff>
    </xdr:to>
    <xdr:graphicFrame macro="">
      <xdr:nvGraphicFramePr>
        <xdr:cNvPr id="5" name="Chart 4">
          <a:extLst>
            <a:ext uri="{FF2B5EF4-FFF2-40B4-BE49-F238E27FC236}">
              <a16:creationId xmlns:a16="http://schemas.microsoft.com/office/drawing/2014/main" id="{4152ED18-B805-4B73-A625-B04BD4F39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581111</xdr:colOff>
      <xdr:row>46</xdr:row>
      <xdr:rowOff>132756</xdr:rowOff>
    </xdr:from>
    <xdr:to>
      <xdr:col>5</xdr:col>
      <xdr:colOff>797820</xdr:colOff>
      <xdr:row>65</xdr:row>
      <xdr:rowOff>1</xdr:rowOff>
    </xdr:to>
    <xdr:graphicFrame macro="">
      <xdr:nvGraphicFramePr>
        <xdr:cNvPr id="6" name="Chart 5">
          <a:extLst>
            <a:ext uri="{FF2B5EF4-FFF2-40B4-BE49-F238E27FC236}">
              <a16:creationId xmlns:a16="http://schemas.microsoft.com/office/drawing/2014/main" id="{8EBD95FA-548A-4AD2-AC3A-6750D7F2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52541</xdr:colOff>
      <xdr:row>46</xdr:row>
      <xdr:rowOff>178609</xdr:rowOff>
    </xdr:from>
    <xdr:to>
      <xdr:col>9</xdr:col>
      <xdr:colOff>65128</xdr:colOff>
      <xdr:row>65</xdr:row>
      <xdr:rowOff>48845</xdr:rowOff>
    </xdr:to>
    <xdr:graphicFrame macro="">
      <xdr:nvGraphicFramePr>
        <xdr:cNvPr id="7" name="Chart 6">
          <a:extLst>
            <a:ext uri="{FF2B5EF4-FFF2-40B4-BE49-F238E27FC236}">
              <a16:creationId xmlns:a16="http://schemas.microsoft.com/office/drawing/2014/main" id="{5DCE45D2-7F08-4929-BC8C-6A7F3A7C4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125833</xdr:colOff>
      <xdr:row>7</xdr:row>
      <xdr:rowOff>44141</xdr:rowOff>
    </xdr:from>
    <xdr:to>
      <xdr:col>10</xdr:col>
      <xdr:colOff>543306</xdr:colOff>
      <xdr:row>16</xdr:row>
      <xdr:rowOff>157534</xdr:rowOff>
    </xdr:to>
    <mc:AlternateContent xmlns:mc="http://schemas.openxmlformats.org/markup-compatibility/2006">
      <mc:Choice xmlns:a14="http://schemas.microsoft.com/office/drawing/2010/main" Requires="a14">
        <xdr:graphicFrame macro="">
          <xdr:nvGraphicFramePr>
            <xdr:cNvPr id="8" name="Employee Names">
              <a:extLst>
                <a:ext uri="{FF2B5EF4-FFF2-40B4-BE49-F238E27FC236}">
                  <a16:creationId xmlns:a16="http://schemas.microsoft.com/office/drawing/2014/main" id="{4A3C2B03-B331-B238-D251-611A18AFF680}"/>
                </a:ext>
              </a:extLst>
            </xdr:cNvPr>
            <xdr:cNvGraphicFramePr/>
          </xdr:nvGraphicFramePr>
          <xdr:xfrm>
            <a:off x="0" y="0"/>
            <a:ext cx="0" cy="0"/>
          </xdr:xfrm>
          <a:graphic>
            <a:graphicData uri="http://schemas.microsoft.com/office/drawing/2010/slicer">
              <sle:slicer xmlns:sle="http://schemas.microsoft.com/office/drawing/2010/slicer" name="Employee Names"/>
            </a:graphicData>
          </a:graphic>
        </xdr:graphicFrame>
      </mc:Choice>
      <mc:Fallback>
        <xdr:sp macro="" textlink="">
          <xdr:nvSpPr>
            <xdr:cNvPr id="0" name=""/>
            <xdr:cNvSpPr>
              <a:spLocks noTextEdit="1"/>
            </xdr:cNvSpPr>
          </xdr:nvSpPr>
          <xdr:spPr>
            <a:xfrm>
              <a:off x="11652045" y="1737474"/>
              <a:ext cx="1860655" cy="1845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738064</xdr:colOff>
      <xdr:row>17</xdr:row>
      <xdr:rowOff>137095</xdr:rowOff>
    </xdr:from>
    <xdr:to>
      <xdr:col>12</xdr:col>
      <xdr:colOff>512719</xdr:colOff>
      <xdr:row>23</xdr:row>
      <xdr:rowOff>111767</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C29DD1A-8888-8349-9857-D77FB2DF60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07458" y="3754671"/>
              <a:ext cx="1814352" cy="1129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675569</xdr:colOff>
      <xdr:row>7</xdr:row>
      <xdr:rowOff>34463</xdr:rowOff>
    </xdr:from>
    <xdr:to>
      <xdr:col>12</xdr:col>
      <xdr:colOff>557361</xdr:colOff>
      <xdr:row>16</xdr:row>
      <xdr:rowOff>151164</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B063C74C-AA52-9BB7-6A21-0AC39D9AB1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644963" y="1727796"/>
              <a:ext cx="1921489" cy="1848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154096</xdr:colOff>
      <xdr:row>17</xdr:row>
      <xdr:rowOff>115848</xdr:rowOff>
    </xdr:from>
    <xdr:to>
      <xdr:col>10</xdr:col>
      <xdr:colOff>569679</xdr:colOff>
      <xdr:row>23</xdr:row>
      <xdr:rowOff>96643</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1007D7B5-000E-7786-B2AE-7E6E01C936F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680308" y="3733424"/>
              <a:ext cx="1858765" cy="113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601699768522" createdVersion="8" refreshedVersion="8" minRefreshableVersion="3" recordCount="17" xr:uid="{E762DD81-E0E2-4D06-AC46-094D6915533F}">
  <cacheSource type="worksheet">
    <worksheetSource name="Sales_Data"/>
  </cacheSource>
  <cacheFields count="17">
    <cacheField name="Date" numFmtId="0">
      <sharedItems count="17">
        <s v="13/09/2026"/>
        <s v="14/09/2026"/>
        <s v="15/09/2026"/>
        <s v="16/09/2026"/>
        <s v="17/09/2026"/>
        <s v="18/09/2026"/>
        <s v="19/09/2026"/>
        <s v="20/09/2026"/>
        <s v="21/09/2026"/>
        <s v="22/09/2026"/>
        <s v="23/09/2026"/>
        <s v="24/09/2026"/>
        <s v="25/09/2026"/>
        <s v="26/09/2026"/>
        <s v="27/09/2026"/>
        <s v="28/09/2026"/>
        <s v="29/09/2026"/>
      </sharedItems>
    </cacheField>
    <cacheField name="Employee ID" numFmtId="0">
      <sharedItems/>
    </cacheField>
    <cacheField name="Employee Names" numFmtId="0">
      <sharedItems count="5">
        <s v="Amit Verma"/>
        <s v="Sneha Joshi"/>
        <s v="Rohit Singh"/>
        <s v="Rahul Sharma"/>
        <s v="Priya Patil"/>
      </sharedItems>
    </cacheField>
    <cacheField name="Department" numFmtId="0">
      <sharedItems/>
    </cacheField>
    <cacheField name="Region" numFmtId="0">
      <sharedItems count="4">
        <s v="North"/>
        <s v="South"/>
        <s v="East"/>
        <s v="West"/>
      </sharedItems>
    </cacheField>
    <cacheField name="Product" numFmtId="0">
      <sharedItems count="5">
        <s v="Mouse"/>
        <s v="Monitor"/>
        <s v="Printer"/>
        <s v="Laptop"/>
        <s v="Keyboard"/>
      </sharedItems>
    </cacheField>
    <cacheField name="Customer" numFmtId="0">
      <sharedItems/>
    </cacheField>
    <cacheField name="Sales" numFmtId="164">
      <sharedItems containsSemiMixedTypes="0" containsString="0" containsNumber="1" containsInteger="1" minValue="16110" maxValue="130000"/>
    </cacheField>
    <cacheField name="Target" numFmtId="164">
      <sharedItems containsSemiMixedTypes="0" containsString="0" containsNumber="1" containsInteger="1" minValue="20000" maxValue="120000"/>
    </cacheField>
    <cacheField name="Orders" numFmtId="1">
      <sharedItems containsSemiMixedTypes="0" containsString="0" containsNumber="1" containsInteger="1" minValue="5" maxValue="14" count="8">
        <n v="13"/>
        <n v="7"/>
        <n v="6"/>
        <n v="12"/>
        <n v="5"/>
        <n v="8"/>
        <n v="14"/>
        <n v="9"/>
      </sharedItems>
    </cacheField>
    <cacheField name="Status" numFmtId="0">
      <sharedItems count="2">
        <s v="Pending"/>
        <s v="Completed"/>
      </sharedItems>
    </cacheField>
    <cacheField name="Achievement %" numFmtId="9">
      <sharedItems containsSemiMixedTypes="0" containsString="0" containsNumber="1" minValue="0.80549999999999999" maxValue="1.1363636363636365"/>
    </cacheField>
    <cacheField name="Performance" numFmtId="0">
      <sharedItems/>
    </cacheField>
    <cacheField name="Status Check" numFmtId="0">
      <sharedItems/>
    </cacheField>
    <cacheField name="Sales Check" numFmtId="0">
      <sharedItems/>
    </cacheField>
    <cacheField name="Target Check" numFmtId="0">
      <sharedItems/>
    </cacheField>
    <cacheField name="Data Check" numFmtId="0">
      <sharedItems/>
    </cacheField>
  </cacheFields>
  <extLst>
    <ext xmlns:x14="http://schemas.microsoft.com/office/spreadsheetml/2009/9/main" uri="{725AE2AE-9491-48be-B2B4-4EB974FC3084}">
      <x14:pivotCacheDefinition pivotCacheId="1512292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s v="E003"/>
    <x v="0"/>
    <s v="Sales"/>
    <x v="0"/>
    <x v="0"/>
    <s v="Alpha Ltd"/>
    <n v="17000"/>
    <n v="20000"/>
    <x v="0"/>
    <x v="0"/>
    <n v="0.85"/>
    <s v="Not Achieve "/>
    <s v="Valid"/>
    <s v="Valid"/>
    <s v="Valid"/>
    <s v="Missing Data"/>
  </r>
  <r>
    <x v="1"/>
    <s v="E004"/>
    <x v="1"/>
    <s v="Sales"/>
    <x v="1"/>
    <x v="1"/>
    <s v="Zenith Pvt Ltd"/>
    <n v="58000"/>
    <n v="55000"/>
    <x v="1"/>
    <x v="1"/>
    <n v="1.0545454545454545"/>
    <s v="Achieve"/>
    <s v="Valid"/>
    <s v="Valid"/>
    <s v="Valid"/>
    <s v="Missing Data"/>
  </r>
  <r>
    <x v="2"/>
    <s v="E005"/>
    <x v="2"/>
    <s v="Sales"/>
    <x v="2"/>
    <x v="2"/>
    <s v="Nova Tech"/>
    <n v="62000"/>
    <n v="60000"/>
    <x v="2"/>
    <x v="1"/>
    <n v="1.0333333333333334"/>
    <s v="Achieve"/>
    <s v="Valid"/>
    <s v="Valid"/>
    <s v="Valid"/>
    <s v="Missing Data"/>
  </r>
  <r>
    <x v="3"/>
    <s v="E001"/>
    <x v="3"/>
    <s v="Sales"/>
    <x v="3"/>
    <x v="3"/>
    <s v="Prime Solutions"/>
    <n v="130000"/>
    <n v="120000"/>
    <x v="2"/>
    <x v="1"/>
    <n v="1.0833333333333333"/>
    <s v="Achieve"/>
    <s v="Valid"/>
    <s v="Valid"/>
    <s v="Valid"/>
    <s v="Missing Data"/>
  </r>
  <r>
    <x v="4"/>
    <s v="E002"/>
    <x v="4"/>
    <s v="Sales"/>
    <x v="3"/>
    <x v="4"/>
    <s v="Future Tech"/>
    <n v="24000"/>
    <n v="25000"/>
    <x v="3"/>
    <x v="0"/>
    <n v="0.96"/>
    <s v="Not Achieve "/>
    <s v="Valid"/>
    <s v="Valid"/>
    <s v="Valid"/>
    <s v="Missing Data"/>
  </r>
  <r>
    <x v="5"/>
    <s v="E003"/>
    <x v="0"/>
    <s v="Sales"/>
    <x v="0"/>
    <x v="3"/>
    <s v="Smart Systems"/>
    <n v="98000"/>
    <n v="100000"/>
    <x v="4"/>
    <x v="0"/>
    <n v="0.98"/>
    <s v="Not Achieve "/>
    <s v="Valid"/>
    <s v="Valid"/>
    <s v="Valid"/>
    <s v="Missing Data"/>
  </r>
  <r>
    <x v="6"/>
    <s v="E004"/>
    <x v="1"/>
    <s v="Sales"/>
    <x v="1"/>
    <x v="2"/>
    <s v="Galaxy Ltd"/>
    <n v="75000"/>
    <n v="70000"/>
    <x v="5"/>
    <x v="1"/>
    <n v="1.0714285714285714"/>
    <s v="Achieve"/>
    <s v="Valid"/>
    <s v="Valid"/>
    <s v="Valid"/>
    <s v="Missing Data"/>
  </r>
  <r>
    <x v="7"/>
    <s v="E005"/>
    <x v="2"/>
    <s v="Sales"/>
    <x v="2"/>
    <x v="1"/>
    <s v="Vision Corp"/>
    <n v="48000"/>
    <n v="50000"/>
    <x v="1"/>
    <x v="0"/>
    <n v="0.96"/>
    <s v="Not Achieve "/>
    <s v="Valid"/>
    <s v="Valid"/>
    <s v="Valid"/>
    <s v="Missing Data"/>
  </r>
  <r>
    <x v="8"/>
    <s v="E001"/>
    <x v="3"/>
    <s v="Sales"/>
    <x v="3"/>
    <x v="1"/>
    <s v="Digital India"/>
    <n v="68000"/>
    <n v="60000"/>
    <x v="5"/>
    <x v="1"/>
    <n v="1.1333333333333333"/>
    <s v="Achieve"/>
    <s v="Valid"/>
    <s v="Valid"/>
    <s v="Valid"/>
    <s v="Missing Data"/>
  </r>
  <r>
    <x v="9"/>
    <s v="E002"/>
    <x v="4"/>
    <s v="Sales"/>
    <x v="3"/>
    <x v="0"/>
    <s v="Web Solutions"/>
    <n v="19000"/>
    <n v="20000"/>
    <x v="6"/>
    <x v="0"/>
    <n v="0.95"/>
    <s v="Not Achieve "/>
    <s v="Valid"/>
    <s v="Valid"/>
    <s v="Valid"/>
    <s v="Missing Data"/>
  </r>
  <r>
    <x v="10"/>
    <s v="E003"/>
    <x v="0"/>
    <s v="Sales"/>
    <x v="0"/>
    <x v="2"/>
    <s v="Core Systems"/>
    <n v="72000"/>
    <n v="65000"/>
    <x v="1"/>
    <x v="1"/>
    <n v="1.1076923076923078"/>
    <s v="Achieve"/>
    <s v="Valid"/>
    <s v="Valid"/>
    <s v="Valid"/>
    <s v="Missing Data"/>
  </r>
  <r>
    <x v="11"/>
    <s v="E004"/>
    <x v="1"/>
    <s v="Sales"/>
    <x v="1"/>
    <x v="3"/>
    <s v="Apex Ltd"/>
    <n v="125000"/>
    <n v="110000"/>
    <x v="4"/>
    <x v="1"/>
    <n v="1.1363636363636365"/>
    <s v="Achieve"/>
    <s v="Valid"/>
    <s v="Valid"/>
    <s v="Valid"/>
    <s v="Missing Data"/>
  </r>
  <r>
    <x v="12"/>
    <s v="E005"/>
    <x v="2"/>
    <s v="Sales"/>
    <x v="2"/>
    <x v="4"/>
    <s v="NextGen Corp"/>
    <n v="26000"/>
    <n v="25000"/>
    <x v="0"/>
    <x v="1"/>
    <n v="1.04"/>
    <s v="Achieve"/>
    <s v="Valid"/>
    <s v="Valid"/>
    <s v="Valid"/>
    <s v="Missing Data"/>
  </r>
  <r>
    <x v="13"/>
    <s v="E001"/>
    <x v="3"/>
    <s v="Sales"/>
    <x v="3"/>
    <x v="2"/>
    <s v="Global Systems"/>
    <n v="78000"/>
    <n v="70000"/>
    <x v="7"/>
    <x v="1"/>
    <n v="1.1142857142857143"/>
    <s v="Achieve"/>
    <s v="Valid"/>
    <s v="Valid"/>
    <s v="Valid"/>
    <s v="Missing Data"/>
  </r>
  <r>
    <x v="14"/>
    <s v="E002"/>
    <x v="4"/>
    <s v="Sales"/>
    <x v="3"/>
    <x v="3"/>
    <s v="Elite Tech"/>
    <n v="115000"/>
    <n v="110000"/>
    <x v="4"/>
    <x v="1"/>
    <n v="1.0454545454545454"/>
    <s v="Achieve"/>
    <s v="Valid"/>
    <s v="Valid"/>
    <s v="Valid"/>
    <s v="Missing Data"/>
  </r>
  <r>
    <x v="15"/>
    <s v="E003"/>
    <x v="0"/>
    <s v="Sales"/>
    <x v="0"/>
    <x v="1"/>
    <s v="Omega Ltd"/>
    <n v="55000"/>
    <n v="60000"/>
    <x v="5"/>
    <x v="0"/>
    <n v="0.91666666666666663"/>
    <s v="Not Achieve "/>
    <s v="Valid"/>
    <s v="Valid"/>
    <s v="Valid"/>
    <s v="Missing Data"/>
  </r>
  <r>
    <x v="16"/>
    <s v="E004"/>
    <x v="1"/>
    <s v="Sales"/>
    <x v="1"/>
    <x v="0"/>
    <s v="Vertex Corp"/>
    <n v="16110"/>
    <n v="20000"/>
    <x v="3"/>
    <x v="0"/>
    <n v="0.80549999999999999"/>
    <s v="Not Achieve "/>
    <s v="Valid"/>
    <s v="Valid"/>
    <s v="Valid"/>
    <s v="Missing Da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5514A-78AE-4119-B3F6-1FC8FD04D0C1}"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 Wise Sale s">
  <location ref="J11:K16" firstHeaderRow="1" firstDataRow="1" firstDataCol="1"/>
  <pivotFields count="17">
    <pivotField showAll="0"/>
    <pivotField showAll="0"/>
    <pivotField showAll="0">
      <items count="6">
        <item x="0"/>
        <item x="4"/>
        <item x="3"/>
        <item x="2"/>
        <item x="1"/>
        <item t="default"/>
      </items>
    </pivotField>
    <pivotField showAll="0"/>
    <pivotField axis="axisRow" showAll="0">
      <items count="5">
        <item x="2"/>
        <item x="0"/>
        <item x="1"/>
        <item x="3"/>
        <item t="default"/>
      </items>
    </pivotField>
    <pivotField showAll="0">
      <items count="6">
        <item x="4"/>
        <item x="3"/>
        <item x="1"/>
        <item x="0"/>
        <item x="2"/>
        <item t="default"/>
      </items>
    </pivotField>
    <pivotField showAll="0"/>
    <pivotField dataField="1" numFmtId="164" showAll="0"/>
    <pivotField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2F146D-4D77-4FBB-9657-E1C174AFB505}"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 - Wise Sales ">
  <location ref="G5:H16" firstHeaderRow="1" firstDataRow="1" firstDataCol="1"/>
  <pivotFields count="17">
    <pivotField axis="axisRow" showAll="0">
      <items count="18">
        <item x="0"/>
        <item x="1"/>
        <item x="2"/>
        <item x="3"/>
        <item x="4"/>
        <item x="5"/>
        <item x="6"/>
        <item x="7"/>
        <item x="8"/>
        <item x="9"/>
        <item x="10"/>
        <item x="11"/>
        <item x="12"/>
        <item x="13"/>
        <item x="14"/>
        <item x="15"/>
        <item x="16"/>
        <item t="default"/>
      </items>
    </pivotField>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dataField="1" numFmtId="164" showAll="0"/>
    <pivotField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Fields count="1">
    <field x="0"/>
  </rowFields>
  <rowItems count="11">
    <i>
      <x v="1"/>
    </i>
    <i>
      <x v="2"/>
    </i>
    <i>
      <x v="3"/>
    </i>
    <i>
      <x v="6"/>
    </i>
    <i>
      <x v="8"/>
    </i>
    <i>
      <x v="10"/>
    </i>
    <i>
      <x v="11"/>
    </i>
    <i>
      <x v="12"/>
    </i>
    <i>
      <x v="13"/>
    </i>
    <i>
      <x v="14"/>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B14A5D-3718-4510-9E74-9D9FF1EF4489}"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us - Sales ">
  <location ref="J5:K7" firstHeaderRow="1" firstDataRow="1" firstDataCol="1"/>
  <pivotFields count="17">
    <pivotField showAll="0"/>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dataField="1" numFmtId="164" showAll="0"/>
    <pivotField numFmtId="164" showAll="0"/>
    <pivotField numFmtId="1" showAll="0"/>
    <pivotField axis="axisRow" showAll="0">
      <items count="3">
        <item x="1"/>
        <item h="1" x="0"/>
        <item t="default"/>
      </items>
    </pivotField>
    <pivotField numFmtId="9" showAll="0"/>
    <pivotField showAll="0"/>
    <pivotField showAll="0"/>
    <pivotField showAll="0"/>
    <pivotField showAll="0"/>
    <pivotField showAll="0"/>
  </pivotFields>
  <rowFields count="1">
    <field x="10"/>
  </rowFields>
  <rowItems count="2">
    <i>
      <x/>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9B6B4-5DC6-4DAF-9B8E-0FFA8CB1E042}"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s - Wise sales ">
  <location ref="D5:E10" firstHeaderRow="1" firstDataRow="1" firstDataCol="1"/>
  <pivotFields count="17">
    <pivotField showAll="0">
      <items count="18">
        <item x="0"/>
        <item x="1"/>
        <item x="2"/>
        <item x="3"/>
        <item x="4"/>
        <item x="5"/>
        <item x="6"/>
        <item x="7"/>
        <item x="8"/>
        <item x="9"/>
        <item x="10"/>
        <item x="11"/>
        <item x="12"/>
        <item x="13"/>
        <item x="14"/>
        <item x="15"/>
        <item x="16"/>
        <item t="default"/>
      </items>
    </pivotField>
    <pivotField showAll="0"/>
    <pivotField showAll="0">
      <items count="6">
        <item x="0"/>
        <item x="4"/>
        <item x="3"/>
        <item x="2"/>
        <item x="1"/>
        <item t="default"/>
      </items>
    </pivotField>
    <pivotField showAll="0"/>
    <pivotField showAll="0">
      <items count="5">
        <item x="2"/>
        <item x="0"/>
        <item x="1"/>
        <item x="3"/>
        <item t="default"/>
      </items>
    </pivotField>
    <pivotField axis="axisRow" showAll="0">
      <items count="6">
        <item x="4"/>
        <item x="3"/>
        <item x="1"/>
        <item x="0"/>
        <item x="2"/>
        <item t="default"/>
      </items>
    </pivotField>
    <pivotField showAll="0"/>
    <pivotField dataField="1" numFmtId="164" showAll="0"/>
    <pivotField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Fields count="1">
    <field x="5"/>
  </rowFields>
  <rowItems count="5">
    <i>
      <x/>
    </i>
    <i>
      <x v="1"/>
    </i>
    <i>
      <x v="2"/>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2A5A63-209B-4F38-81AD-BD471D54B8F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mployees - Wise sales ">
  <location ref="A5:B11" firstHeaderRow="1" firstDataRow="1" firstDataCol="1"/>
  <pivotFields count="17">
    <pivotField showAll="0">
      <items count="18">
        <item x="0"/>
        <item x="1"/>
        <item x="2"/>
        <item x="3"/>
        <item x="4"/>
        <item x="5"/>
        <item x="6"/>
        <item x="7"/>
        <item x="8"/>
        <item x="9"/>
        <item x="10"/>
        <item x="11"/>
        <item x="12"/>
        <item x="13"/>
        <item x="14"/>
        <item x="15"/>
        <item x="16"/>
        <item t="default"/>
      </items>
    </pivotField>
    <pivotField showAll="0"/>
    <pivotField axis="axisRow"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dataField="1" numFmtId="164" showAll="0"/>
    <pivotField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7"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E0EB8C-F666-409E-B4DA-AAD8295F8167}"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7">
    <pivotField showAll="0"/>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numFmtId="164" showAll="0"/>
    <pivotField numFmtId="164" showAll="0"/>
    <pivotField numFmtId="1" showAll="0"/>
    <pivotField showAll="0">
      <items count="3">
        <item x="1"/>
        <item h="1" x="0"/>
        <item t="default"/>
      </items>
    </pivotField>
    <pivotField dataField="1" numFmtId="9" showAll="0"/>
    <pivotField showAll="0"/>
    <pivotField showAll="0"/>
    <pivotField showAll="0"/>
    <pivotField showAll="0"/>
    <pivotField showAll="0"/>
  </pivotFields>
  <rowItems count="1">
    <i/>
  </rowItems>
  <colItems count="1">
    <i/>
  </colItems>
  <dataFields count="1">
    <dataField name="Total  Achievement %" fld="11" baseField="0" baseItem="0" numFmtId="166"/>
  </dataFields>
  <formats count="13">
    <format dxfId="639">
      <pivotArea type="all" dataOnly="0" outline="0" fieldPosition="0"/>
    </format>
    <format dxfId="638">
      <pivotArea outline="0" collapsedLevelsAreSubtotals="1" fieldPosition="0"/>
    </format>
    <format dxfId="637">
      <pivotArea dataOnly="0" labelOnly="1" outline="0" axis="axisValues" fieldPosition="0"/>
    </format>
    <format dxfId="636">
      <pivotArea type="all" dataOnly="0" outline="0" fieldPosition="0"/>
    </format>
    <format dxfId="635">
      <pivotArea outline="0" collapsedLevelsAreSubtotals="1" fieldPosition="0"/>
    </format>
    <format dxfId="634">
      <pivotArea dataOnly="0" labelOnly="1" outline="0" axis="axisValues" fieldPosition="0"/>
    </format>
    <format dxfId="633">
      <pivotArea type="all" dataOnly="0" outline="0" fieldPosition="0"/>
    </format>
    <format dxfId="632">
      <pivotArea outline="0" collapsedLevelsAreSubtotals="1" fieldPosition="0"/>
    </format>
    <format dxfId="631">
      <pivotArea dataOnly="0" labelOnly="1" outline="0" axis="axisValues" fieldPosition="0"/>
    </format>
    <format dxfId="630">
      <pivotArea type="all" dataOnly="0" outline="0" fieldPosition="0"/>
    </format>
    <format dxfId="629">
      <pivotArea outline="0" collapsedLevelsAreSubtotals="1" fieldPosition="0"/>
    </format>
    <format dxfId="628">
      <pivotArea dataOnly="0" labelOnly="1" outline="0" axis="axisValues" fieldPosition="0"/>
    </format>
    <format dxfId="6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CBDF0B-21FE-4CDD-87D0-443F34391FC3}"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17">
    <pivotField showAll="0"/>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numFmtId="164" showAll="0"/>
    <pivotField numFmtId="164" showAll="0"/>
    <pivotField dataField="1" numFmtId="1" showAll="0"/>
    <pivotField showAll="0">
      <items count="3">
        <item x="1"/>
        <item h="1" x="0"/>
        <item t="default"/>
      </items>
    </pivotField>
    <pivotField numFmtId="9" showAll="0"/>
    <pivotField showAll="0"/>
    <pivotField showAll="0"/>
    <pivotField showAll="0"/>
    <pivotField showAll="0"/>
    <pivotField showAll="0"/>
  </pivotFields>
  <rowItems count="1">
    <i/>
  </rowItems>
  <colItems count="1">
    <i/>
  </colItems>
  <dataFields count="1">
    <dataField name="Total Orders" fld="9" baseField="0" baseItem="0"/>
  </dataFields>
  <formats count="12">
    <format dxfId="651">
      <pivotArea type="all" dataOnly="0" outline="0" fieldPosition="0"/>
    </format>
    <format dxfId="650">
      <pivotArea outline="0" collapsedLevelsAreSubtotals="1" fieldPosition="0"/>
    </format>
    <format dxfId="649">
      <pivotArea dataOnly="0" labelOnly="1" outline="0" axis="axisValues" fieldPosition="0"/>
    </format>
    <format dxfId="648">
      <pivotArea type="all" dataOnly="0" outline="0" fieldPosition="0"/>
    </format>
    <format dxfId="647">
      <pivotArea outline="0" collapsedLevelsAreSubtotals="1" fieldPosition="0"/>
    </format>
    <format dxfId="646">
      <pivotArea dataOnly="0" labelOnly="1" outline="0" axis="axisValues" fieldPosition="0"/>
    </format>
    <format dxfId="645">
      <pivotArea type="all" dataOnly="0" outline="0" fieldPosition="0"/>
    </format>
    <format dxfId="644">
      <pivotArea outline="0" collapsedLevelsAreSubtotals="1" fieldPosition="0"/>
    </format>
    <format dxfId="643">
      <pivotArea dataOnly="0" labelOnly="1" outline="0" axis="axisValues" fieldPosition="0"/>
    </format>
    <format dxfId="642">
      <pivotArea type="all" dataOnly="0" outline="0" fieldPosition="0"/>
    </format>
    <format dxfId="641">
      <pivotArea outline="0" collapsedLevelsAreSubtotals="1" fieldPosition="0"/>
    </format>
    <format dxfId="6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2A24CA-03D7-4E25-9CFC-B91F764F707D}"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7">
    <pivotField showAll="0"/>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numFmtId="164" showAll="0"/>
    <pivotField dataField="1"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Items count="1">
    <i/>
  </rowItems>
  <colItems count="1">
    <i/>
  </colItems>
  <dataFields count="1">
    <dataField name="Total Target" fld="8" baseField="0" baseItem="0"/>
  </dataFields>
  <formats count="5">
    <format dxfId="653">
      <pivotArea dataOnly="0" labelOnly="1" outline="0" axis="axisValues" fieldPosition="0"/>
    </format>
    <format dxfId="652">
      <pivotArea outline="0" collapsedLevelsAreSubtotals="1" fieldPosition="0"/>
    </format>
    <format dxfId="509">
      <pivotArea type="all" dataOnly="0" outline="0" fieldPosition="0"/>
    </format>
    <format dxfId="508">
      <pivotArea outline="0" collapsedLevelsAreSubtotals="1" fieldPosition="0"/>
    </format>
    <format dxfId="5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162396-DF9E-4D15-9698-B89D0FC7521D}"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7">
    <pivotField showAll="0"/>
    <pivotField showAll="0"/>
    <pivotField showAll="0">
      <items count="6">
        <item x="0"/>
        <item x="4"/>
        <item x="3"/>
        <item x="2"/>
        <item x="1"/>
        <item t="default"/>
      </items>
    </pivotField>
    <pivotField showAll="0"/>
    <pivotField showAll="0">
      <items count="5">
        <item x="2"/>
        <item x="0"/>
        <item x="1"/>
        <item x="3"/>
        <item t="default"/>
      </items>
    </pivotField>
    <pivotField showAll="0">
      <items count="6">
        <item x="4"/>
        <item x="3"/>
        <item x="1"/>
        <item x="0"/>
        <item x="2"/>
        <item t="default"/>
      </items>
    </pivotField>
    <pivotField showAll="0"/>
    <pivotField dataField="1" numFmtId="164" showAll="0"/>
    <pivotField numFmtId="164" showAll="0"/>
    <pivotField numFmtId="1" showAll="0"/>
    <pivotField showAll="0">
      <items count="3">
        <item x="1"/>
        <item h="1" x="0"/>
        <item t="default"/>
      </items>
    </pivotField>
    <pivotField numFmtId="9" showAll="0"/>
    <pivotField showAll="0"/>
    <pivotField showAll="0"/>
    <pivotField showAll="0"/>
    <pivotField showAll="0"/>
    <pivotField showAll="0"/>
  </pivotFields>
  <rowItems count="1">
    <i/>
  </rowItems>
  <colItems count="1">
    <i/>
  </colItems>
  <dataFields count="1">
    <dataField name="Total Sales" fld="7" baseField="0" baseItem="0"/>
  </dataFields>
  <formats count="12">
    <format dxfId="665">
      <pivotArea type="all" dataOnly="0" outline="0" fieldPosition="0"/>
    </format>
    <format dxfId="664">
      <pivotArea outline="0" collapsedLevelsAreSubtotals="1" fieldPosition="0"/>
    </format>
    <format dxfId="663">
      <pivotArea dataOnly="0" labelOnly="1" outline="0" axis="axisValues" fieldPosition="0"/>
    </format>
    <format dxfId="662">
      <pivotArea type="all" dataOnly="0" outline="0" fieldPosition="0"/>
    </format>
    <format dxfId="661">
      <pivotArea outline="0" collapsedLevelsAreSubtotals="1" fieldPosition="0"/>
    </format>
    <format dxfId="660">
      <pivotArea dataOnly="0" labelOnly="1" outline="0" axis="axisValues" fieldPosition="0"/>
    </format>
    <format dxfId="659">
      <pivotArea type="all" dataOnly="0" outline="0" fieldPosition="0"/>
    </format>
    <format dxfId="658">
      <pivotArea outline="0" collapsedLevelsAreSubtotals="1" fieldPosition="0"/>
    </format>
    <format dxfId="657">
      <pivotArea dataOnly="0" labelOnly="1" outline="0" axis="axisValues" fieldPosition="0"/>
    </format>
    <format dxfId="656">
      <pivotArea type="all" dataOnly="0" outline="0" fieldPosition="0"/>
    </format>
    <format dxfId="655">
      <pivotArea outline="0" collapsedLevelsAreSubtotals="1" fieldPosition="0"/>
    </format>
    <format dxfId="6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s" xr10:uid="{496393D1-4A97-471D-AEAC-773F46B370E0}" sourceName="Employee Names">
  <pivotTables>
    <pivotTable tabId="4" name="PivotTable7"/>
    <pivotTable tabId="4" name="PivotTable10"/>
    <pivotTable tabId="4" name="PivotTable11"/>
    <pivotTable tabId="4" name="PivotTable12"/>
    <pivotTable tabId="4" name="PivotTable8"/>
    <pivotTable tabId="5" name="PivotTable14"/>
    <pivotTable tabId="5" name="PivotTable15"/>
    <pivotTable tabId="5" name="PivotTable16"/>
    <pivotTable tabId="5" name="PivotTable17"/>
  </pivotTables>
  <data>
    <tabular pivotCacheId="1512292534">
      <items count="5">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FBEF60-0B47-43D5-8E24-1E4DD000A813}" sourceName="Region">
  <pivotTables>
    <pivotTable tabId="4" name="PivotTable7"/>
    <pivotTable tabId="4" name="PivotTable10"/>
    <pivotTable tabId="4" name="PivotTable11"/>
    <pivotTable tabId="4" name="PivotTable12"/>
    <pivotTable tabId="4" name="PivotTable8"/>
    <pivotTable tabId="5" name="PivotTable14"/>
    <pivotTable tabId="5" name="PivotTable15"/>
    <pivotTable tabId="5" name="PivotTable16"/>
    <pivotTable tabId="5" name="PivotTable17"/>
  </pivotTables>
  <data>
    <tabular pivotCacheId="151229253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A18025-0E01-4235-A47A-0395B01CC880}" sourceName="Product">
  <pivotTables>
    <pivotTable tabId="4" name="PivotTable7"/>
    <pivotTable tabId="4" name="PivotTable10"/>
    <pivotTable tabId="4" name="PivotTable11"/>
    <pivotTable tabId="4" name="PivotTable12"/>
    <pivotTable tabId="4" name="PivotTable8"/>
    <pivotTable tabId="5" name="PivotTable14"/>
    <pivotTable tabId="5" name="PivotTable15"/>
    <pivotTable tabId="5" name="PivotTable16"/>
    <pivotTable tabId="5" name="PivotTable17"/>
  </pivotTables>
  <data>
    <tabular pivotCacheId="1512292534">
      <items count="5">
        <i x="4" s="1"/>
        <i x="3" s="1"/>
        <i x="1" s="1"/>
        <i x="2"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0FAD938-4EE5-4282-AE71-37E3F05A2F9A}" sourceName="Status">
  <pivotTables>
    <pivotTable tabId="4" name="PivotTable7"/>
    <pivotTable tabId="4" name="PivotTable10"/>
    <pivotTable tabId="4" name="PivotTable11"/>
    <pivotTable tabId="4" name="PivotTable12"/>
    <pivotTable tabId="4" name="PivotTable8"/>
    <pivotTable tabId="5" name="PivotTable14"/>
    <pivotTable tabId="5" name="PivotTable15"/>
    <pivotTable tabId="5" name="PivotTable16"/>
    <pivotTable tabId="5" name="PivotTable17"/>
  </pivotTables>
  <data>
    <tabular pivotCacheId="151229253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s" xr10:uid="{1811635B-9019-47F2-8F1F-FB4CFA4A21E8}" cache="Slicer_Employee_Names" caption="Employee Names" rowHeight="251883"/>
  <slicer name="Region" xr10:uid="{DCC0194B-F19D-467B-AA92-412DC44EDFA5}" cache="Slicer_Region" caption="Region" columnCount="2" rowHeight="251883"/>
  <slicer name="Product" xr10:uid="{7EB476E8-C430-4619-986D-32CDD81DE9D8}" cache="Slicer_Product" caption="Product" rowHeight="251883"/>
  <slicer name="Status" xr10:uid="{69CA11E9-D1C8-4590-902B-3BE16ED0DCD9}" cache="Slicer_Status" caption="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0E487-4824-42F9-BDE5-3081CA5FAE1F}" name="Sales_Data" displayName="Sales_Data" ref="A1:Q18" totalsRowShown="0" headerRowDxfId="698" dataDxfId="697">
  <autoFilter ref="A1:Q18" xr:uid="{DBF0E487-4824-42F9-BDE5-3081CA5FAE1F}"/>
  <tableColumns count="17">
    <tableColumn id="1" xr3:uid="{725DCC6A-4F82-4562-857F-FA014182AD23}" name="Date" dataDxfId="696" totalsRowDxfId="695"/>
    <tableColumn id="2" xr3:uid="{D84976FF-C388-4162-86AE-781C822051BB}" name="Employee ID" dataDxfId="694" totalsRowDxfId="693"/>
    <tableColumn id="16" xr3:uid="{4B8F512B-9EC6-4C15-94FC-4ACDCB8973FD}" name="Employee Names" dataDxfId="692" totalsRowDxfId="691"/>
    <tableColumn id="4" xr3:uid="{C76A448F-246A-4848-ABCD-28654434B9C9}" name="Department" dataDxfId="690" totalsRowDxfId="689"/>
    <tableColumn id="5" xr3:uid="{713E5CC4-D3B6-4B90-A73F-83BE5B7AA972}" name="Region" dataDxfId="688" totalsRowDxfId="687"/>
    <tableColumn id="6" xr3:uid="{559BF524-06EB-4FF5-A803-54B0C08EA50C}" name="Product" dataDxfId="686" totalsRowDxfId="685"/>
    <tableColumn id="7" xr3:uid="{5B3155F6-14A7-4798-A0B6-AD54F7B0B71E}" name="Customer" dataDxfId="684" totalsRowDxfId="683"/>
    <tableColumn id="8" xr3:uid="{576747D7-0E18-4237-B573-FE51850F4BF9}" name="Sales" dataDxfId="682"/>
    <tableColumn id="9" xr3:uid="{1A44F850-F827-484D-BBB2-82F5FFF5E5DA}" name="Target" dataDxfId="681"/>
    <tableColumn id="10" xr3:uid="{6FBA0661-E2DF-43A1-B211-F64BC3707380}" name="Orders" dataDxfId="680" totalsRowDxfId="679"/>
    <tableColumn id="11" xr3:uid="{E7DE9DCE-E7A6-45D4-9CB1-27AD1EE89614}" name="Status" totalsRowDxfId="678"/>
    <tableColumn id="12" xr3:uid="{77446899-D9C3-48C7-AC2E-C4372DA8B4C8}" name="Achievement %" dataDxfId="677" totalsRowDxfId="676" dataCellStyle="Percent">
      <calculatedColumnFormula>Sales_Data[[#This Row],[Sales]]/Sales_Data[[#This Row],[Target]]</calculatedColumnFormula>
    </tableColumn>
    <tableColumn id="13" xr3:uid="{37E06E55-44AD-4D21-AD49-7BA9CFAC8949}" name="Performance" dataDxfId="675" totalsRowDxfId="674">
      <calculatedColumnFormula>IF(Sales_Data[[#This Row],[Sales]]&gt;=Sales_Data[[#This Row],[Target]],"Achieve","Not Achieve ")</calculatedColumnFormula>
    </tableColumn>
    <tableColumn id="17" xr3:uid="{6D1EDFB4-EE5E-4C56-A147-45B1A7973532}" name="Status Check" dataDxfId="673" totalsRowDxfId="672">
      <calculatedColumnFormula>IF(OR(Sales_Data[[#This Row],[Status]]="Completed",Sales_Data[[#This Row],[Status]]="Pending"),"Valid","Check")</calculatedColumnFormula>
    </tableColumn>
    <tableColumn id="18" xr3:uid="{DE2E5E3A-D639-46D5-98DC-08EB194313F0}" name="Sales Check" dataDxfId="671" totalsRowDxfId="670">
      <calculatedColumnFormula>IF(H2&lt;0,"Check","Valid")</calculatedColumnFormula>
    </tableColumn>
    <tableColumn id="19" xr3:uid="{A713C409-A8B4-42BD-89BC-1C7D6336B25C}" name="Target Check" dataDxfId="669" totalsRowDxfId="668">
      <calculatedColumnFormula>IF(I2&lt;0,"Check","Valid")</calculatedColumnFormula>
    </tableColumn>
    <tableColumn id="20" xr3:uid="{131E124E-AFD6-4986-BC7D-4586EDDDAD3D}" name="Data Check" dataDxfId="667" totalsRowDxfId="666">
      <calculatedColumnFormula>IF(COUNTA(B2:M2)=13,"Complete","Missing Data")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2061-6025-47A7-9B03-EBF38FA78B34}">
  <dimension ref="A1:S18"/>
  <sheetViews>
    <sheetView topLeftCell="D1" zoomScale="91" zoomScaleNormal="100" workbookViewId="0">
      <pane ySplit="1" topLeftCell="A2" activePane="bottomLeft" state="frozen"/>
      <selection pane="bottomLeft" activeCell="K10" sqref="K10"/>
    </sheetView>
  </sheetViews>
  <sheetFormatPr defaultRowHeight="14.5" x14ac:dyDescent="0.35"/>
  <cols>
    <col min="1" max="1" width="10.08984375" style="31" bestFit="1" customWidth="1"/>
    <col min="2" max="2" width="13.1796875" customWidth="1"/>
    <col min="3" max="3" width="19.81640625" bestFit="1" customWidth="1"/>
    <col min="4" max="4" width="12.81640625" customWidth="1"/>
    <col min="5" max="5" width="8.54296875" customWidth="1"/>
    <col min="6" max="6" width="9.36328125" customWidth="1"/>
    <col min="7" max="7" width="15.08984375" bestFit="1" customWidth="1"/>
    <col min="8" max="9" width="13.6328125" style="6" bestFit="1" customWidth="1"/>
    <col min="10" max="10" width="10.90625" style="10" bestFit="1" customWidth="1"/>
    <col min="11" max="11" width="12.26953125" bestFit="1" customWidth="1"/>
    <col min="12" max="12" width="18.36328125" style="15" bestFit="1" customWidth="1"/>
    <col min="13" max="13" width="16.08984375" bestFit="1" customWidth="1"/>
    <col min="14" max="14" width="16.453125" bestFit="1" customWidth="1"/>
    <col min="15" max="15" width="15.6328125" bestFit="1" customWidth="1"/>
    <col min="16" max="16" width="16.1796875" bestFit="1" customWidth="1"/>
    <col min="17" max="17" width="15" bestFit="1" customWidth="1"/>
  </cols>
  <sheetData>
    <row r="1" spans="1:19" x14ac:dyDescent="0.35">
      <c r="A1" s="30" t="s">
        <v>0</v>
      </c>
      <c r="B1" s="2" t="s">
        <v>1</v>
      </c>
      <c r="C1" s="2" t="s">
        <v>50</v>
      </c>
      <c r="D1" s="2" t="s">
        <v>2</v>
      </c>
      <c r="E1" s="2" t="s">
        <v>3</v>
      </c>
      <c r="F1" s="2" t="s">
        <v>4</v>
      </c>
      <c r="G1" s="2" t="s">
        <v>5</v>
      </c>
      <c r="H1" s="11" t="s">
        <v>6</v>
      </c>
      <c r="I1" s="11" t="s">
        <v>7</v>
      </c>
      <c r="J1" s="12" t="s">
        <v>8</v>
      </c>
      <c r="K1" s="2" t="s">
        <v>9</v>
      </c>
      <c r="L1" s="14" t="s">
        <v>48</v>
      </c>
      <c r="M1" s="2" t="s">
        <v>49</v>
      </c>
      <c r="N1" s="2" t="s">
        <v>51</v>
      </c>
      <c r="O1" s="2" t="s">
        <v>52</v>
      </c>
      <c r="P1" s="2" t="s">
        <v>53</v>
      </c>
      <c r="Q1" s="2" t="s">
        <v>54</v>
      </c>
    </row>
    <row r="2" spans="1:19" x14ac:dyDescent="0.35">
      <c r="A2" t="s">
        <v>67</v>
      </c>
      <c r="B2" s="1" t="s">
        <v>18</v>
      </c>
      <c r="C2" s="1" t="s">
        <v>19</v>
      </c>
      <c r="D2" s="1" t="s">
        <v>6</v>
      </c>
      <c r="E2" s="1" t="s">
        <v>20</v>
      </c>
      <c r="F2" s="1" t="s">
        <v>28</v>
      </c>
      <c r="G2" s="1" t="s">
        <v>31</v>
      </c>
      <c r="H2" s="5">
        <v>17000</v>
      </c>
      <c r="I2" s="5">
        <v>20000</v>
      </c>
      <c r="J2" s="9">
        <v>13</v>
      </c>
      <c r="K2" t="s">
        <v>29</v>
      </c>
      <c r="L2" s="13">
        <f>Sales_Data[[#This Row],[Sales]]/Sales_Data[[#This Row],[Target]]</f>
        <v>0.85</v>
      </c>
      <c r="M2" s="1" t="str">
        <f>IF(Sales_Data[[#This Row],[Sales]]&gt;=Sales_Data[[#This Row],[Target]],"Achieve","Not Achieve ")</f>
        <v xml:space="preserve">Not Achieve </v>
      </c>
      <c r="N2" s="1" t="str">
        <f>IF(OR(Sales_Data[[#This Row],[Status]]="Completed",Sales_Data[[#This Row],[Status]]="Pending"),"Valid","Check")</f>
        <v>Valid</v>
      </c>
      <c r="O2" s="1" t="str">
        <f t="shared" ref="O2:O18" si="0">IF(H2&lt;0,"Check","Valid")</f>
        <v>Valid</v>
      </c>
      <c r="P2" s="7" t="str">
        <f t="shared" ref="P2:P18" si="1">IF(I2&lt;0,"Check","Valid")</f>
        <v>Valid</v>
      </c>
      <c r="Q2" s="7" t="str">
        <f t="shared" ref="Q2:Q18" si="2">IF(COUNTA(B2:M2)=13,"Complete","Missing Data")</f>
        <v>Missing Data</v>
      </c>
    </row>
    <row r="3" spans="1:19" x14ac:dyDescent="0.35">
      <c r="A3" t="s">
        <v>68</v>
      </c>
      <c r="B3" s="1" t="s">
        <v>22</v>
      </c>
      <c r="C3" s="1" t="s">
        <v>23</v>
      </c>
      <c r="D3" s="1" t="s">
        <v>6</v>
      </c>
      <c r="E3" s="1" t="s">
        <v>24</v>
      </c>
      <c r="F3" s="1" t="s">
        <v>17</v>
      </c>
      <c r="G3" s="1" t="s">
        <v>32</v>
      </c>
      <c r="H3" s="5">
        <v>58000</v>
      </c>
      <c r="I3" s="5">
        <v>55000</v>
      </c>
      <c r="J3" s="9">
        <v>7</v>
      </c>
      <c r="K3" t="s">
        <v>14</v>
      </c>
      <c r="L3" s="13">
        <f>Sales_Data[[#This Row],[Sales]]/Sales_Data[[#This Row],[Target]]</f>
        <v>1.0545454545454545</v>
      </c>
      <c r="M3" s="1" t="str">
        <f>IF(Sales_Data[[#This Row],[Sales]]&gt;=Sales_Data[[#This Row],[Target]],"Achieve","Not Achieve ")</f>
        <v>Achieve</v>
      </c>
      <c r="N3" s="1" t="str">
        <f>IF(OR(Sales_Data[[#This Row],[Status]]="Completed",Sales_Data[[#This Row],[Status]]="Pending"),"Valid","Check")</f>
        <v>Valid</v>
      </c>
      <c r="O3" s="1" t="str">
        <f t="shared" si="0"/>
        <v>Valid</v>
      </c>
      <c r="P3" s="7" t="str">
        <f t="shared" si="1"/>
        <v>Valid</v>
      </c>
      <c r="Q3" s="7" t="str">
        <f t="shared" si="2"/>
        <v>Missing Data</v>
      </c>
    </row>
    <row r="4" spans="1:19" x14ac:dyDescent="0.35">
      <c r="A4" t="s">
        <v>69</v>
      </c>
      <c r="B4" s="1" t="s">
        <v>25</v>
      </c>
      <c r="C4" s="1" t="s">
        <v>26</v>
      </c>
      <c r="D4" s="1" t="s">
        <v>6</v>
      </c>
      <c r="E4" s="1" t="s">
        <v>27</v>
      </c>
      <c r="F4" s="1" t="s">
        <v>30</v>
      </c>
      <c r="G4" s="1" t="s">
        <v>33</v>
      </c>
      <c r="H4" s="5">
        <v>62000</v>
      </c>
      <c r="I4" s="5">
        <v>60000</v>
      </c>
      <c r="J4" s="9">
        <v>6</v>
      </c>
      <c r="K4" t="s">
        <v>14</v>
      </c>
      <c r="L4" s="13">
        <f>Sales_Data[[#This Row],[Sales]]/Sales_Data[[#This Row],[Target]]</f>
        <v>1.0333333333333334</v>
      </c>
      <c r="M4" s="1" t="str">
        <f>IF(Sales_Data[[#This Row],[Sales]]&gt;=Sales_Data[[#This Row],[Target]],"Achieve","Not Achieve ")</f>
        <v>Achieve</v>
      </c>
      <c r="N4" s="1" t="str">
        <f>IF(OR(Sales_Data[[#This Row],[Status]]="Completed",Sales_Data[[#This Row],[Status]]="Pending"),"Valid","Check")</f>
        <v>Valid</v>
      </c>
      <c r="O4" s="1" t="str">
        <f t="shared" si="0"/>
        <v>Valid</v>
      </c>
      <c r="P4" s="7" t="str">
        <f t="shared" si="1"/>
        <v>Valid</v>
      </c>
      <c r="Q4" s="7" t="str">
        <f t="shared" si="2"/>
        <v>Missing Data</v>
      </c>
      <c r="S4" t="b">
        <f>ISNUMBER(#REF!)</f>
        <v>0</v>
      </c>
    </row>
    <row r="5" spans="1:19" x14ac:dyDescent="0.35">
      <c r="A5" t="s">
        <v>70</v>
      </c>
      <c r="B5" s="1" t="s">
        <v>10</v>
      </c>
      <c r="C5" s="1" t="s">
        <v>11</v>
      </c>
      <c r="D5" s="1" t="s">
        <v>6</v>
      </c>
      <c r="E5" s="1" t="s">
        <v>12</v>
      </c>
      <c r="F5" s="1" t="s">
        <v>13</v>
      </c>
      <c r="G5" s="1" t="s">
        <v>34</v>
      </c>
      <c r="H5" s="5">
        <v>130000</v>
      </c>
      <c r="I5" s="5">
        <v>120000</v>
      </c>
      <c r="J5" s="9">
        <v>6</v>
      </c>
      <c r="K5" t="s">
        <v>14</v>
      </c>
      <c r="L5" s="13">
        <f>Sales_Data[[#This Row],[Sales]]/Sales_Data[[#This Row],[Target]]</f>
        <v>1.0833333333333333</v>
      </c>
      <c r="M5" s="1" t="str">
        <f>IF(Sales_Data[[#This Row],[Sales]]&gt;=Sales_Data[[#This Row],[Target]],"Achieve","Not Achieve ")</f>
        <v>Achieve</v>
      </c>
      <c r="N5" s="1" t="str">
        <f>IF(OR(Sales_Data[[#This Row],[Status]]="Completed",Sales_Data[[#This Row],[Status]]="Pending"),"Valid","Check")</f>
        <v>Valid</v>
      </c>
      <c r="O5" s="1" t="str">
        <f t="shared" si="0"/>
        <v>Valid</v>
      </c>
      <c r="P5" s="7" t="str">
        <f t="shared" si="1"/>
        <v>Valid</v>
      </c>
      <c r="Q5" s="7" t="str">
        <f t="shared" si="2"/>
        <v>Missing Data</v>
      </c>
    </row>
    <row r="6" spans="1:19" x14ac:dyDescent="0.35">
      <c r="A6" t="s">
        <v>71</v>
      </c>
      <c r="B6" s="1" t="s">
        <v>15</v>
      </c>
      <c r="C6" s="1" t="s">
        <v>16</v>
      </c>
      <c r="D6" s="1" t="s">
        <v>6</v>
      </c>
      <c r="E6" s="1" t="s">
        <v>12</v>
      </c>
      <c r="F6" s="1" t="s">
        <v>21</v>
      </c>
      <c r="G6" s="1" t="s">
        <v>35</v>
      </c>
      <c r="H6" s="5">
        <v>24000</v>
      </c>
      <c r="I6" s="5">
        <v>25000</v>
      </c>
      <c r="J6" s="9">
        <v>12</v>
      </c>
      <c r="K6" t="s">
        <v>29</v>
      </c>
      <c r="L6" s="13">
        <f>Sales_Data[[#This Row],[Sales]]/Sales_Data[[#This Row],[Target]]</f>
        <v>0.96</v>
      </c>
      <c r="M6" s="1" t="str">
        <f>IF(Sales_Data[[#This Row],[Sales]]&gt;=Sales_Data[[#This Row],[Target]],"Achieve","Not Achieve ")</f>
        <v xml:space="preserve">Not Achieve </v>
      </c>
      <c r="N6" s="1" t="str">
        <f>IF(OR(Sales_Data[[#This Row],[Status]]="Completed",Sales_Data[[#This Row],[Status]]="Pending"),"Valid","Check")</f>
        <v>Valid</v>
      </c>
      <c r="O6" s="1" t="str">
        <f t="shared" si="0"/>
        <v>Valid</v>
      </c>
      <c r="P6" s="7" t="str">
        <f t="shared" si="1"/>
        <v>Valid</v>
      </c>
      <c r="Q6" s="7" t="str">
        <f t="shared" si="2"/>
        <v>Missing Data</v>
      </c>
    </row>
    <row r="7" spans="1:19" x14ac:dyDescent="0.35">
      <c r="A7" t="s">
        <v>72</v>
      </c>
      <c r="B7" s="1" t="s">
        <v>18</v>
      </c>
      <c r="C7" s="1" t="s">
        <v>19</v>
      </c>
      <c r="D7" s="1" t="s">
        <v>6</v>
      </c>
      <c r="E7" s="1" t="s">
        <v>20</v>
      </c>
      <c r="F7" s="1" t="s">
        <v>13</v>
      </c>
      <c r="G7" s="1" t="s">
        <v>36</v>
      </c>
      <c r="H7" s="5">
        <v>98000</v>
      </c>
      <c r="I7" s="5">
        <v>100000</v>
      </c>
      <c r="J7" s="9">
        <v>5</v>
      </c>
      <c r="K7" t="s">
        <v>29</v>
      </c>
      <c r="L7" s="13">
        <f>Sales_Data[[#This Row],[Sales]]/Sales_Data[[#This Row],[Target]]</f>
        <v>0.98</v>
      </c>
      <c r="M7" s="1" t="str">
        <f>IF(Sales_Data[[#This Row],[Sales]]&gt;=Sales_Data[[#This Row],[Target]],"Achieve","Not Achieve ")</f>
        <v xml:space="preserve">Not Achieve </v>
      </c>
      <c r="N7" s="1" t="str">
        <f>IF(OR(Sales_Data[[#This Row],[Status]]="Completed",Sales_Data[[#This Row],[Status]]="Pending"),"Valid","Check")</f>
        <v>Valid</v>
      </c>
      <c r="O7" s="1" t="str">
        <f t="shared" si="0"/>
        <v>Valid</v>
      </c>
      <c r="P7" s="7" t="str">
        <f t="shared" si="1"/>
        <v>Valid</v>
      </c>
      <c r="Q7" s="7" t="str">
        <f t="shared" si="2"/>
        <v>Missing Data</v>
      </c>
    </row>
    <row r="8" spans="1:19" x14ac:dyDescent="0.35">
      <c r="A8" t="s">
        <v>73</v>
      </c>
      <c r="B8" s="1" t="s">
        <v>22</v>
      </c>
      <c r="C8" s="1" t="s">
        <v>23</v>
      </c>
      <c r="D8" s="1" t="s">
        <v>6</v>
      </c>
      <c r="E8" s="1" t="s">
        <v>24</v>
      </c>
      <c r="F8" s="1" t="s">
        <v>30</v>
      </c>
      <c r="G8" s="1" t="s">
        <v>37</v>
      </c>
      <c r="H8" s="5">
        <v>75000</v>
      </c>
      <c r="I8" s="5">
        <v>70000</v>
      </c>
      <c r="J8" s="9">
        <v>8</v>
      </c>
      <c r="K8" t="s">
        <v>14</v>
      </c>
      <c r="L8" s="13">
        <f>Sales_Data[[#This Row],[Sales]]/Sales_Data[[#This Row],[Target]]</f>
        <v>1.0714285714285714</v>
      </c>
      <c r="M8" s="1" t="str">
        <f>IF(Sales_Data[[#This Row],[Sales]]&gt;=Sales_Data[[#This Row],[Target]],"Achieve","Not Achieve ")</f>
        <v>Achieve</v>
      </c>
      <c r="N8" s="1" t="str">
        <f>IF(OR(Sales_Data[[#This Row],[Status]]="Completed",Sales_Data[[#This Row],[Status]]="Pending"),"Valid","Check")</f>
        <v>Valid</v>
      </c>
      <c r="O8" s="1" t="str">
        <f t="shared" si="0"/>
        <v>Valid</v>
      </c>
      <c r="P8" s="7" t="str">
        <f t="shared" si="1"/>
        <v>Valid</v>
      </c>
      <c r="Q8" s="7" t="str">
        <f t="shared" si="2"/>
        <v>Missing Data</v>
      </c>
    </row>
    <row r="9" spans="1:19" x14ac:dyDescent="0.35">
      <c r="A9" t="s">
        <v>74</v>
      </c>
      <c r="B9" s="1" t="s">
        <v>25</v>
      </c>
      <c r="C9" s="1" t="s">
        <v>26</v>
      </c>
      <c r="D9" s="1" t="s">
        <v>6</v>
      </c>
      <c r="E9" s="1" t="s">
        <v>27</v>
      </c>
      <c r="F9" s="1" t="s">
        <v>17</v>
      </c>
      <c r="G9" s="1" t="s">
        <v>38</v>
      </c>
      <c r="H9" s="5">
        <v>48000</v>
      </c>
      <c r="I9" s="5">
        <v>50000</v>
      </c>
      <c r="J9" s="9">
        <v>7</v>
      </c>
      <c r="K9" t="s">
        <v>29</v>
      </c>
      <c r="L9" s="13">
        <f>Sales_Data[[#This Row],[Sales]]/Sales_Data[[#This Row],[Target]]</f>
        <v>0.96</v>
      </c>
      <c r="M9" s="1" t="str">
        <f>IF(Sales_Data[[#This Row],[Sales]]&gt;=Sales_Data[[#This Row],[Target]],"Achieve","Not Achieve ")</f>
        <v xml:space="preserve">Not Achieve </v>
      </c>
      <c r="N9" s="1" t="str">
        <f>IF(OR(Sales_Data[[#This Row],[Status]]="Completed",Sales_Data[[#This Row],[Status]]="Pending"),"Valid","Check")</f>
        <v>Valid</v>
      </c>
      <c r="O9" s="1" t="str">
        <f t="shared" si="0"/>
        <v>Valid</v>
      </c>
      <c r="P9" s="7" t="str">
        <f t="shared" si="1"/>
        <v>Valid</v>
      </c>
      <c r="Q9" s="7" t="str">
        <f t="shared" si="2"/>
        <v>Missing Data</v>
      </c>
    </row>
    <row r="10" spans="1:19" x14ac:dyDescent="0.35">
      <c r="A10" t="s">
        <v>75</v>
      </c>
      <c r="B10" s="1" t="s">
        <v>10</v>
      </c>
      <c r="C10" s="1" t="s">
        <v>11</v>
      </c>
      <c r="D10" s="1" t="s">
        <v>6</v>
      </c>
      <c r="E10" s="1" t="s">
        <v>12</v>
      </c>
      <c r="F10" s="1" t="s">
        <v>17</v>
      </c>
      <c r="G10" s="1" t="s">
        <v>39</v>
      </c>
      <c r="H10" s="5">
        <v>68000</v>
      </c>
      <c r="I10" s="5">
        <v>60000</v>
      </c>
      <c r="J10" s="9">
        <v>8</v>
      </c>
      <c r="K10" t="s">
        <v>14</v>
      </c>
      <c r="L10" s="13">
        <f>Sales_Data[[#This Row],[Sales]]/Sales_Data[[#This Row],[Target]]</f>
        <v>1.1333333333333333</v>
      </c>
      <c r="M10" s="1" t="str">
        <f>IF(Sales_Data[[#This Row],[Sales]]&gt;=Sales_Data[[#This Row],[Target]],"Achieve","Not Achieve ")</f>
        <v>Achieve</v>
      </c>
      <c r="N10" s="1" t="str">
        <f>IF(OR(Sales_Data[[#This Row],[Status]]="Completed",Sales_Data[[#This Row],[Status]]="Pending"),"Valid","Check")</f>
        <v>Valid</v>
      </c>
      <c r="O10" s="1" t="str">
        <f t="shared" si="0"/>
        <v>Valid</v>
      </c>
      <c r="P10" s="7" t="str">
        <f t="shared" si="1"/>
        <v>Valid</v>
      </c>
      <c r="Q10" s="7" t="str">
        <f t="shared" si="2"/>
        <v>Missing Data</v>
      </c>
    </row>
    <row r="11" spans="1:19" x14ac:dyDescent="0.35">
      <c r="A11" t="s">
        <v>76</v>
      </c>
      <c r="B11" s="1" t="s">
        <v>15</v>
      </c>
      <c r="C11" s="1" t="s">
        <v>16</v>
      </c>
      <c r="D11" s="1" t="s">
        <v>6</v>
      </c>
      <c r="E11" s="1" t="s">
        <v>12</v>
      </c>
      <c r="F11" s="1" t="s">
        <v>28</v>
      </c>
      <c r="G11" s="1" t="s">
        <v>40</v>
      </c>
      <c r="H11" s="5">
        <v>19000</v>
      </c>
      <c r="I11" s="5">
        <v>20000</v>
      </c>
      <c r="J11" s="9">
        <v>14</v>
      </c>
      <c r="K11" t="s">
        <v>29</v>
      </c>
      <c r="L11" s="13">
        <f>Sales_Data[[#This Row],[Sales]]/Sales_Data[[#This Row],[Target]]</f>
        <v>0.95</v>
      </c>
      <c r="M11" s="1" t="str">
        <f>IF(Sales_Data[[#This Row],[Sales]]&gt;=Sales_Data[[#This Row],[Target]],"Achieve","Not Achieve ")</f>
        <v xml:space="preserve">Not Achieve </v>
      </c>
      <c r="N11" s="1" t="str">
        <f>IF(OR(Sales_Data[[#This Row],[Status]]="Completed",Sales_Data[[#This Row],[Status]]="Pending"),"Valid","Check")</f>
        <v>Valid</v>
      </c>
      <c r="O11" s="1" t="str">
        <f t="shared" si="0"/>
        <v>Valid</v>
      </c>
      <c r="P11" s="7" t="str">
        <f t="shared" si="1"/>
        <v>Valid</v>
      </c>
      <c r="Q11" s="7" t="str">
        <f t="shared" si="2"/>
        <v>Missing Data</v>
      </c>
    </row>
    <row r="12" spans="1:19" x14ac:dyDescent="0.35">
      <c r="A12" t="s">
        <v>77</v>
      </c>
      <c r="B12" s="1" t="s">
        <v>18</v>
      </c>
      <c r="C12" s="1" t="s">
        <v>19</v>
      </c>
      <c r="D12" s="1" t="s">
        <v>6</v>
      </c>
      <c r="E12" s="1" t="s">
        <v>20</v>
      </c>
      <c r="F12" s="1" t="s">
        <v>30</v>
      </c>
      <c r="G12" s="1" t="s">
        <v>41</v>
      </c>
      <c r="H12" s="5">
        <v>72000</v>
      </c>
      <c r="I12" s="5">
        <v>65000</v>
      </c>
      <c r="J12" s="9">
        <v>7</v>
      </c>
      <c r="K12" t="s">
        <v>14</v>
      </c>
      <c r="L12" s="13">
        <f>Sales_Data[[#This Row],[Sales]]/Sales_Data[[#This Row],[Target]]</f>
        <v>1.1076923076923078</v>
      </c>
      <c r="M12" s="1" t="str">
        <f>IF(Sales_Data[[#This Row],[Sales]]&gt;=Sales_Data[[#This Row],[Target]],"Achieve","Not Achieve ")</f>
        <v>Achieve</v>
      </c>
      <c r="N12" s="1" t="str">
        <f>IF(OR(Sales_Data[[#This Row],[Status]]="Completed",Sales_Data[[#This Row],[Status]]="Pending"),"Valid","Check")</f>
        <v>Valid</v>
      </c>
      <c r="O12" s="1" t="str">
        <f t="shared" si="0"/>
        <v>Valid</v>
      </c>
      <c r="P12" s="7" t="str">
        <f t="shared" si="1"/>
        <v>Valid</v>
      </c>
      <c r="Q12" s="7" t="str">
        <f t="shared" si="2"/>
        <v>Missing Data</v>
      </c>
    </row>
    <row r="13" spans="1:19" x14ac:dyDescent="0.35">
      <c r="A13" t="s">
        <v>78</v>
      </c>
      <c r="B13" s="1" t="s">
        <v>22</v>
      </c>
      <c r="C13" s="1" t="s">
        <v>23</v>
      </c>
      <c r="D13" s="1" t="s">
        <v>6</v>
      </c>
      <c r="E13" s="1" t="s">
        <v>24</v>
      </c>
      <c r="F13" s="1" t="s">
        <v>13</v>
      </c>
      <c r="G13" s="1" t="s">
        <v>42</v>
      </c>
      <c r="H13" s="5">
        <v>125000</v>
      </c>
      <c r="I13" s="5">
        <v>110000</v>
      </c>
      <c r="J13" s="9">
        <v>5</v>
      </c>
      <c r="K13" t="s">
        <v>14</v>
      </c>
      <c r="L13" s="13">
        <f>Sales_Data[[#This Row],[Sales]]/Sales_Data[[#This Row],[Target]]</f>
        <v>1.1363636363636365</v>
      </c>
      <c r="M13" s="1" t="str">
        <f>IF(Sales_Data[[#This Row],[Sales]]&gt;=Sales_Data[[#This Row],[Target]],"Achieve","Not Achieve ")</f>
        <v>Achieve</v>
      </c>
      <c r="N13" s="1" t="str">
        <f>IF(OR(Sales_Data[[#This Row],[Status]]="Completed",Sales_Data[[#This Row],[Status]]="Pending"),"Valid","Check")</f>
        <v>Valid</v>
      </c>
      <c r="O13" s="1" t="str">
        <f t="shared" si="0"/>
        <v>Valid</v>
      </c>
      <c r="P13" s="7" t="str">
        <f t="shared" si="1"/>
        <v>Valid</v>
      </c>
      <c r="Q13" s="7" t="str">
        <f t="shared" si="2"/>
        <v>Missing Data</v>
      </c>
    </row>
    <row r="14" spans="1:19" x14ac:dyDescent="0.35">
      <c r="A14" t="s">
        <v>79</v>
      </c>
      <c r="B14" s="1" t="s">
        <v>25</v>
      </c>
      <c r="C14" s="1" t="s">
        <v>26</v>
      </c>
      <c r="D14" s="1" t="s">
        <v>6</v>
      </c>
      <c r="E14" s="1" t="s">
        <v>27</v>
      </c>
      <c r="F14" s="1" t="s">
        <v>21</v>
      </c>
      <c r="G14" s="1" t="s">
        <v>43</v>
      </c>
      <c r="H14" s="5">
        <v>26000</v>
      </c>
      <c r="I14" s="5">
        <v>25000</v>
      </c>
      <c r="J14" s="9">
        <v>13</v>
      </c>
      <c r="K14" t="s">
        <v>14</v>
      </c>
      <c r="L14" s="13">
        <f>Sales_Data[[#This Row],[Sales]]/Sales_Data[[#This Row],[Target]]</f>
        <v>1.04</v>
      </c>
      <c r="M14" s="1" t="str">
        <f>IF(Sales_Data[[#This Row],[Sales]]&gt;=Sales_Data[[#This Row],[Target]],"Achieve","Not Achieve ")</f>
        <v>Achieve</v>
      </c>
      <c r="N14" s="1" t="str">
        <f>IF(OR(Sales_Data[[#This Row],[Status]]="Completed",Sales_Data[[#This Row],[Status]]="Pending"),"Valid","Check")</f>
        <v>Valid</v>
      </c>
      <c r="O14" s="1" t="str">
        <f t="shared" si="0"/>
        <v>Valid</v>
      </c>
      <c r="P14" s="7" t="str">
        <f t="shared" si="1"/>
        <v>Valid</v>
      </c>
      <c r="Q14" s="7" t="str">
        <f t="shared" si="2"/>
        <v>Missing Data</v>
      </c>
    </row>
    <row r="15" spans="1:19" x14ac:dyDescent="0.35">
      <c r="A15" t="s">
        <v>80</v>
      </c>
      <c r="B15" s="1" t="s">
        <v>10</v>
      </c>
      <c r="C15" s="1" t="s">
        <v>11</v>
      </c>
      <c r="D15" s="1" t="s">
        <v>6</v>
      </c>
      <c r="E15" s="1" t="s">
        <v>12</v>
      </c>
      <c r="F15" s="1" t="s">
        <v>30</v>
      </c>
      <c r="G15" s="1" t="s">
        <v>44</v>
      </c>
      <c r="H15" s="5">
        <v>78000</v>
      </c>
      <c r="I15" s="5">
        <v>70000</v>
      </c>
      <c r="J15" s="9">
        <v>9</v>
      </c>
      <c r="K15" t="s">
        <v>14</v>
      </c>
      <c r="L15" s="13">
        <f>Sales_Data[[#This Row],[Sales]]/Sales_Data[[#This Row],[Target]]</f>
        <v>1.1142857142857143</v>
      </c>
      <c r="M15" s="1" t="str">
        <f>IF(Sales_Data[[#This Row],[Sales]]&gt;=Sales_Data[[#This Row],[Target]],"Achieve","Not Achieve ")</f>
        <v>Achieve</v>
      </c>
      <c r="N15" s="1" t="str">
        <f>IF(OR(Sales_Data[[#This Row],[Status]]="Completed",Sales_Data[[#This Row],[Status]]="Pending"),"Valid","Check")</f>
        <v>Valid</v>
      </c>
      <c r="O15" s="1" t="str">
        <f t="shared" si="0"/>
        <v>Valid</v>
      </c>
      <c r="P15" s="7" t="str">
        <f t="shared" si="1"/>
        <v>Valid</v>
      </c>
      <c r="Q15" s="7" t="str">
        <f t="shared" si="2"/>
        <v>Missing Data</v>
      </c>
    </row>
    <row r="16" spans="1:19" x14ac:dyDescent="0.35">
      <c r="A16" t="s">
        <v>81</v>
      </c>
      <c r="B16" s="1" t="s">
        <v>15</v>
      </c>
      <c r="C16" s="1" t="s">
        <v>16</v>
      </c>
      <c r="D16" s="1" t="s">
        <v>6</v>
      </c>
      <c r="E16" s="1" t="s">
        <v>12</v>
      </c>
      <c r="F16" s="1" t="s">
        <v>13</v>
      </c>
      <c r="G16" s="1" t="s">
        <v>45</v>
      </c>
      <c r="H16" s="5">
        <v>115000</v>
      </c>
      <c r="I16" s="5">
        <v>110000</v>
      </c>
      <c r="J16" s="9">
        <v>5</v>
      </c>
      <c r="K16" t="s">
        <v>14</v>
      </c>
      <c r="L16" s="13">
        <f>Sales_Data[[#This Row],[Sales]]/Sales_Data[[#This Row],[Target]]</f>
        <v>1.0454545454545454</v>
      </c>
      <c r="M16" s="1" t="str">
        <f>IF(Sales_Data[[#This Row],[Sales]]&gt;=Sales_Data[[#This Row],[Target]],"Achieve","Not Achieve ")</f>
        <v>Achieve</v>
      </c>
      <c r="N16" s="1" t="str">
        <f>IF(OR(Sales_Data[[#This Row],[Status]]="Completed",Sales_Data[[#This Row],[Status]]="Pending"),"Valid","Check")</f>
        <v>Valid</v>
      </c>
      <c r="O16" s="1" t="str">
        <f t="shared" si="0"/>
        <v>Valid</v>
      </c>
      <c r="P16" s="7" t="str">
        <f t="shared" si="1"/>
        <v>Valid</v>
      </c>
      <c r="Q16" s="7" t="str">
        <f t="shared" si="2"/>
        <v>Missing Data</v>
      </c>
    </row>
    <row r="17" spans="1:17" x14ac:dyDescent="0.35">
      <c r="A17" t="s">
        <v>82</v>
      </c>
      <c r="B17" s="1" t="s">
        <v>18</v>
      </c>
      <c r="C17" s="1" t="s">
        <v>19</v>
      </c>
      <c r="D17" s="1" t="s">
        <v>6</v>
      </c>
      <c r="E17" s="1" t="s">
        <v>20</v>
      </c>
      <c r="F17" s="1" t="s">
        <v>17</v>
      </c>
      <c r="G17" s="1" t="s">
        <v>46</v>
      </c>
      <c r="H17" s="5">
        <v>55000</v>
      </c>
      <c r="I17" s="5">
        <v>60000</v>
      </c>
      <c r="J17" s="9">
        <v>8</v>
      </c>
      <c r="K17" t="s">
        <v>29</v>
      </c>
      <c r="L17" s="13">
        <f>Sales_Data[[#This Row],[Sales]]/Sales_Data[[#This Row],[Target]]</f>
        <v>0.91666666666666663</v>
      </c>
      <c r="M17" s="1" t="str">
        <f>IF(Sales_Data[[#This Row],[Sales]]&gt;=Sales_Data[[#This Row],[Target]],"Achieve","Not Achieve ")</f>
        <v xml:space="preserve">Not Achieve </v>
      </c>
      <c r="N17" s="1" t="str">
        <f>IF(OR(Sales_Data[[#This Row],[Status]]="Completed",Sales_Data[[#This Row],[Status]]="Pending"),"Valid","Check")</f>
        <v>Valid</v>
      </c>
      <c r="O17" s="1" t="str">
        <f t="shared" si="0"/>
        <v>Valid</v>
      </c>
      <c r="P17" s="7" t="str">
        <f t="shared" si="1"/>
        <v>Valid</v>
      </c>
      <c r="Q17" s="7" t="str">
        <f t="shared" si="2"/>
        <v>Missing Data</v>
      </c>
    </row>
    <row r="18" spans="1:17" x14ac:dyDescent="0.35">
      <c r="A18" t="s">
        <v>83</v>
      </c>
      <c r="B18" s="1" t="s">
        <v>22</v>
      </c>
      <c r="C18" s="1" t="s">
        <v>23</v>
      </c>
      <c r="D18" s="1" t="s">
        <v>6</v>
      </c>
      <c r="E18" s="1" t="s">
        <v>24</v>
      </c>
      <c r="F18" s="1" t="s">
        <v>28</v>
      </c>
      <c r="G18" s="1" t="s">
        <v>47</v>
      </c>
      <c r="H18" s="5">
        <v>16110</v>
      </c>
      <c r="I18" s="5">
        <v>20000</v>
      </c>
      <c r="J18" s="9">
        <v>12</v>
      </c>
      <c r="K18" t="s">
        <v>29</v>
      </c>
      <c r="L18" s="13">
        <f>Sales_Data[[#This Row],[Sales]]/Sales_Data[[#This Row],[Target]]</f>
        <v>0.80549999999999999</v>
      </c>
      <c r="M18" s="1" t="str">
        <f>IF(Sales_Data[[#This Row],[Sales]]&gt;=Sales_Data[[#This Row],[Target]],"Achieve","Not Achieve ")</f>
        <v xml:space="preserve">Not Achieve </v>
      </c>
      <c r="N18" s="1" t="str">
        <f>IF(OR(Sales_Data[[#This Row],[Status]]="Completed",Sales_Data[[#This Row],[Status]]="Pending"),"Valid","Check")</f>
        <v>Valid</v>
      </c>
      <c r="O18" s="1" t="str">
        <f t="shared" si="0"/>
        <v>Valid</v>
      </c>
      <c r="P18" s="7" t="str">
        <f t="shared" si="1"/>
        <v>Valid</v>
      </c>
      <c r="Q18" s="7" t="str">
        <f t="shared" si="2"/>
        <v>Missing Data</v>
      </c>
    </row>
  </sheetData>
  <conditionalFormatting sqref="H2:H18">
    <cfRule type="cellIs" dxfId="169" priority="5" operator="greaterThan">
      <formula>100000</formula>
    </cfRule>
  </conditionalFormatting>
  <conditionalFormatting sqref="L2:L18">
    <cfRule type="cellIs" dxfId="168" priority="3" operator="greaterThan">
      <formula>1</formula>
    </cfRule>
  </conditionalFormatting>
  <dataValidations count="1">
    <dataValidation type="list" allowBlank="1" showInputMessage="1" showErrorMessage="1" sqref="K2" xr:uid="{12FB275F-98DF-4B7D-87C2-D5EA5F9E2074}">
      <formula1>#REF!</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F0BC-B33F-45ED-B66F-3C1E0CFCC9C0}">
  <dimension ref="A1:F27"/>
  <sheetViews>
    <sheetView zoomScale="91" workbookViewId="0">
      <selection activeCell="E25" sqref="E25"/>
    </sheetView>
  </sheetViews>
  <sheetFormatPr defaultRowHeight="14.5" x14ac:dyDescent="0.35"/>
  <cols>
    <col min="1" max="2" width="13.6328125" bestFit="1" customWidth="1"/>
    <col min="3" max="3" width="10.54296875" bestFit="1" customWidth="1"/>
    <col min="4" max="4" width="13.81640625" bestFit="1" customWidth="1"/>
    <col min="5" max="5" width="16.453125" bestFit="1" customWidth="1"/>
    <col min="6" max="6" width="17.453125" bestFit="1" customWidth="1"/>
  </cols>
  <sheetData>
    <row r="1" spans="1:6" x14ac:dyDescent="0.35">
      <c r="A1" s="4" t="s">
        <v>55</v>
      </c>
      <c r="B1" s="4" t="s">
        <v>56</v>
      </c>
      <c r="C1" s="4" t="s">
        <v>57</v>
      </c>
      <c r="D1" s="4" t="s">
        <v>58</v>
      </c>
      <c r="E1" s="4" t="s">
        <v>59</v>
      </c>
      <c r="F1" s="4" t="s">
        <v>60</v>
      </c>
    </row>
    <row r="2" spans="1:6" x14ac:dyDescent="0.35">
      <c r="A2" s="18">
        <f>SUM(Sales_Data[Sales])</f>
        <v>1086110</v>
      </c>
      <c r="B2" s="18">
        <f>SUM(Sales_Data[Target])</f>
        <v>1040000</v>
      </c>
      <c r="C2" s="16">
        <f>SUM(Sales_Data[Orders])</f>
        <v>145</v>
      </c>
      <c r="D2" s="17">
        <f>A2/B2</f>
        <v>1.0443365384615384</v>
      </c>
      <c r="E2" s="3">
        <f>SUMIFS(Sales_Data[Orders],Sales_Data[Status],"Completed")</f>
        <v>74</v>
      </c>
      <c r="F2" s="3">
        <f>SUMIFS(Sales_Data[Orders],Sales_Data[Status],"Pending")</f>
        <v>71</v>
      </c>
    </row>
    <row r="3" spans="1:6" x14ac:dyDescent="0.35">
      <c r="A3" s="21"/>
      <c r="B3" s="21"/>
      <c r="C3" s="22"/>
      <c r="D3" s="23"/>
      <c r="E3" s="24"/>
      <c r="F3" s="24"/>
    </row>
    <row r="4" spans="1:6" x14ac:dyDescent="0.35">
      <c r="A4" s="21"/>
      <c r="B4" s="21"/>
      <c r="C4" s="22"/>
      <c r="D4" s="23"/>
      <c r="E4" s="24"/>
      <c r="F4" s="24"/>
    </row>
    <row r="5" spans="1:6" x14ac:dyDescent="0.35">
      <c r="A5" s="46" t="s">
        <v>84</v>
      </c>
      <c r="B5" s="47"/>
      <c r="C5" s="47"/>
      <c r="D5" s="47"/>
      <c r="E5" s="47"/>
      <c r="F5" s="47"/>
    </row>
    <row r="6" spans="1:6" x14ac:dyDescent="0.35">
      <c r="A6" s="19" t="s">
        <v>61</v>
      </c>
      <c r="B6" s="19" t="s">
        <v>6</v>
      </c>
      <c r="C6" s="19" t="s">
        <v>7</v>
      </c>
      <c r="D6" s="19" t="s">
        <v>48</v>
      </c>
      <c r="E6" s="19" t="s">
        <v>8</v>
      </c>
      <c r="F6" s="19" t="s">
        <v>62</v>
      </c>
    </row>
    <row r="7" spans="1:6" x14ac:dyDescent="0.35">
      <c r="A7" s="20" t="s">
        <v>11</v>
      </c>
      <c r="B7" s="20">
        <f>SUMIF(Sales_Data[Employee Names],MIS_Report!A7,Sales_Data[Sales])</f>
        <v>276000</v>
      </c>
      <c r="C7" s="20">
        <f>SUMIF(Sales_Data[Employee Names],MIS_Report!A7,Sales_Data[Target])</f>
        <v>250000</v>
      </c>
      <c r="D7" s="20">
        <f>B7/C7</f>
        <v>1.1040000000000001</v>
      </c>
      <c r="E7" s="20">
        <f>SUMIF(Sales_Data[Employee Names],MIS_Report!A7,Sales_Data[Orders])</f>
        <v>23</v>
      </c>
      <c r="F7" s="3">
        <f>COUNTIFS(Sales_Data[Employee Names],MIS_Report!A7,Sales_Data[Status],"Completed")</f>
        <v>3</v>
      </c>
    </row>
    <row r="8" spans="1:6" x14ac:dyDescent="0.35">
      <c r="A8" s="20" t="s">
        <v>16</v>
      </c>
      <c r="B8" s="20">
        <f>SUMIF(Sales_Data[Employee Names],MIS_Report!A8,Sales_Data[Sales])</f>
        <v>158000</v>
      </c>
      <c r="C8" s="20">
        <f>SUMIF(Sales_Data[Employee Names],MIS_Report!A8,Sales_Data[Target])</f>
        <v>155000</v>
      </c>
      <c r="D8" s="20">
        <f t="shared" ref="D8:D11" si="0">B8/C8</f>
        <v>1.0193548387096774</v>
      </c>
      <c r="E8" s="20">
        <f>SUMIF(Sales_Data[Employee Names],MIS_Report!A8,Sales_Data[Orders])</f>
        <v>31</v>
      </c>
      <c r="F8" s="3">
        <f>COUNTIFS(Sales_Data[Employee Names],MIS_Report!A8,Sales_Data[Status],"Completed")</f>
        <v>1</v>
      </c>
    </row>
    <row r="9" spans="1:6" x14ac:dyDescent="0.35">
      <c r="A9" s="20" t="s">
        <v>19</v>
      </c>
      <c r="B9" s="20">
        <f>SUMIF(Sales_Data[Employee Names],MIS_Report!A9,Sales_Data[Sales])</f>
        <v>242000</v>
      </c>
      <c r="C9" s="20">
        <f>SUMIF(Sales_Data[Employee Names],MIS_Report!A9,Sales_Data[Target])</f>
        <v>245000</v>
      </c>
      <c r="D9" s="20">
        <f t="shared" si="0"/>
        <v>0.98775510204081629</v>
      </c>
      <c r="E9" s="20">
        <f>SUMIF(Sales_Data[Employee Names],MIS_Report!A9,Sales_Data[Orders])</f>
        <v>33</v>
      </c>
      <c r="F9" s="3">
        <f>COUNTIFS(Sales_Data[Employee Names],MIS_Report!A9,Sales_Data[Status],"Completed")</f>
        <v>1</v>
      </c>
    </row>
    <row r="10" spans="1:6" x14ac:dyDescent="0.35">
      <c r="A10" s="20" t="s">
        <v>23</v>
      </c>
      <c r="B10" s="20">
        <f>SUMIF(Sales_Data[Employee Names],MIS_Report!A10,Sales_Data[Sales])</f>
        <v>274110</v>
      </c>
      <c r="C10" s="20">
        <f>SUMIF(Sales_Data[Employee Names],MIS_Report!A10,Sales_Data[Target])</f>
        <v>255000</v>
      </c>
      <c r="D10" s="20">
        <f t="shared" si="0"/>
        <v>1.0749411764705883</v>
      </c>
      <c r="E10" s="20">
        <f>SUMIF(Sales_Data[Employee Names],MIS_Report!A10,Sales_Data[Orders])</f>
        <v>32</v>
      </c>
      <c r="F10" s="3">
        <f>COUNTIFS(Sales_Data[Employee Names],MIS_Report!A10,Sales_Data[Status],"Completed")</f>
        <v>3</v>
      </c>
    </row>
    <row r="11" spans="1:6" x14ac:dyDescent="0.35">
      <c r="A11" s="20" t="s">
        <v>26</v>
      </c>
      <c r="B11" s="20">
        <f>SUMIF(Sales_Data[Employee Names],MIS_Report!A11,Sales_Data[Sales])</f>
        <v>136000</v>
      </c>
      <c r="C11" s="20">
        <f>SUMIF(Sales_Data[Employee Names],MIS_Report!A11,Sales_Data[Target])</f>
        <v>135000</v>
      </c>
      <c r="D11" s="20">
        <f t="shared" si="0"/>
        <v>1.0074074074074073</v>
      </c>
      <c r="E11" s="20">
        <f>SUMIF(Sales_Data[Employee Names],MIS_Report!A11,Sales_Data[Orders])</f>
        <v>26</v>
      </c>
      <c r="F11" s="3">
        <f>COUNTIFS(Sales_Data[Employee Names],MIS_Report!A11,Sales_Data[Status],"Completed")</f>
        <v>2</v>
      </c>
    </row>
    <row r="13" spans="1:6" x14ac:dyDescent="0.35">
      <c r="A13" s="48" t="s">
        <v>63</v>
      </c>
      <c r="B13" s="48"/>
      <c r="C13" s="48"/>
      <c r="D13" s="48"/>
      <c r="E13" s="48"/>
      <c r="F13" s="48"/>
    </row>
    <row r="14" spans="1:6" x14ac:dyDescent="0.35">
      <c r="A14" s="25" t="s">
        <v>3</v>
      </c>
      <c r="B14" s="25" t="s">
        <v>6</v>
      </c>
      <c r="C14" s="25" t="s">
        <v>7</v>
      </c>
      <c r="D14" s="25" t="s">
        <v>48</v>
      </c>
    </row>
    <row r="15" spans="1:6" x14ac:dyDescent="0.35">
      <c r="A15" s="26" t="s">
        <v>12</v>
      </c>
      <c r="B15" s="26">
        <f>SUMIF(Sales_Data[Region],MIS_Report!A15,Sales_Data[Sales])</f>
        <v>434000</v>
      </c>
      <c r="C15" s="26">
        <f>SUMIF(Sales_Data[Region],MIS_Report!A15,Sales_Data[Target])</f>
        <v>405000</v>
      </c>
      <c r="D15" s="27">
        <f>B15/C15</f>
        <v>1.0716049382716049</v>
      </c>
    </row>
    <row r="16" spans="1:6" x14ac:dyDescent="0.35">
      <c r="A16" s="26" t="s">
        <v>20</v>
      </c>
      <c r="B16" s="26">
        <f>SUMIF(Sales_Data[Region],MIS_Report!A16,Sales_Data[Sales])</f>
        <v>242000</v>
      </c>
      <c r="C16" s="26">
        <f>SUMIF(Sales_Data[Region],MIS_Report!A16,Sales_Data[Target])</f>
        <v>245000</v>
      </c>
      <c r="D16" s="27">
        <f t="shared" ref="D16:D18" si="1">B16/C16</f>
        <v>0.98775510204081629</v>
      </c>
    </row>
    <row r="17" spans="1:6" x14ac:dyDescent="0.35">
      <c r="A17" s="26" t="s">
        <v>24</v>
      </c>
      <c r="B17" s="26">
        <f>SUMIF(Sales_Data[Region],MIS_Report!A17,Sales_Data[Sales])</f>
        <v>274110</v>
      </c>
      <c r="C17" s="26">
        <f>SUMIF(Sales_Data[Region],MIS_Report!A17,Sales_Data[Target])</f>
        <v>255000</v>
      </c>
      <c r="D17" s="27">
        <f t="shared" si="1"/>
        <v>1.0749411764705883</v>
      </c>
    </row>
    <row r="18" spans="1:6" x14ac:dyDescent="0.35">
      <c r="A18" s="26" t="s">
        <v>27</v>
      </c>
      <c r="B18" s="26">
        <f>SUMIF(Sales_Data[Region],MIS_Report!A18,Sales_Data[Sales])</f>
        <v>136000</v>
      </c>
      <c r="C18" s="26">
        <f>SUMIF(Sales_Data[Region],MIS_Report!A18,Sales_Data[Target])</f>
        <v>135000</v>
      </c>
      <c r="D18" s="27">
        <f t="shared" si="1"/>
        <v>1.0074074074074073</v>
      </c>
    </row>
    <row r="20" spans="1:6" x14ac:dyDescent="0.35">
      <c r="A20" s="49" t="s">
        <v>85</v>
      </c>
      <c r="B20" s="49"/>
      <c r="C20" s="49"/>
      <c r="D20" s="49"/>
      <c r="E20" s="49"/>
      <c r="F20" s="49"/>
    </row>
    <row r="21" spans="1:6" x14ac:dyDescent="0.35">
      <c r="A21" s="25" t="s">
        <v>4</v>
      </c>
      <c r="B21" s="25" t="s">
        <v>64</v>
      </c>
    </row>
    <row r="22" spans="1:6" x14ac:dyDescent="0.35">
      <c r="A22" s="26" t="s">
        <v>13</v>
      </c>
      <c r="B22" s="26">
        <f>SUMIF(Sales_Data[Product],MIS_Report!A22,Sales_Data[Sales])</f>
        <v>468000</v>
      </c>
    </row>
    <row r="23" spans="1:6" x14ac:dyDescent="0.35">
      <c r="A23" s="26" t="s">
        <v>17</v>
      </c>
      <c r="B23" s="26">
        <f>SUMIF(Sales_Data[Product],MIS_Report!A23,Sales_Data[Sales])</f>
        <v>229000</v>
      </c>
    </row>
    <row r="24" spans="1:6" x14ac:dyDescent="0.35">
      <c r="A24" s="26" t="s">
        <v>21</v>
      </c>
      <c r="B24" s="26">
        <f>SUMIF(Sales_Data[Product],MIS_Report!A24,Sales_Data[Sales])</f>
        <v>50000</v>
      </c>
    </row>
    <row r="25" spans="1:6" x14ac:dyDescent="0.35">
      <c r="A25" s="26" t="s">
        <v>28</v>
      </c>
      <c r="B25" s="26">
        <f>SUMIF(Sales_Data[Product],MIS_Report!A25,Sales_Data[Sales])</f>
        <v>52110</v>
      </c>
    </row>
    <row r="26" spans="1:6" x14ac:dyDescent="0.35">
      <c r="A26" s="26" t="s">
        <v>30</v>
      </c>
      <c r="B26" s="26">
        <f>SUMIF(Sales_Data[Product],MIS_Report!A26,Sales_Data[Sales])</f>
        <v>287000</v>
      </c>
    </row>
    <row r="27" spans="1:6" x14ac:dyDescent="0.35">
      <c r="A27" s="3"/>
      <c r="B27" s="3"/>
    </row>
  </sheetData>
  <mergeCells count="3">
    <mergeCell ref="A5:F5"/>
    <mergeCell ref="A13:F13"/>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C54A-BE60-4BC3-B335-179ABC49A99F}">
  <dimension ref="A5:K28"/>
  <sheetViews>
    <sheetView topLeftCell="A2" zoomScale="42" zoomScaleNormal="40" workbookViewId="0">
      <selection activeCell="G27" sqref="G27"/>
    </sheetView>
  </sheetViews>
  <sheetFormatPr defaultRowHeight="14.5" x14ac:dyDescent="0.35"/>
  <cols>
    <col min="1" max="1" width="34.54296875" bestFit="1" customWidth="1"/>
    <col min="2" max="2" width="16.54296875" bestFit="1" customWidth="1"/>
    <col min="3" max="3" width="13.36328125" bestFit="1" customWidth="1"/>
    <col min="4" max="4" width="32.54296875" bestFit="1" customWidth="1"/>
    <col min="5" max="5" width="16.54296875" bestFit="1" customWidth="1"/>
    <col min="7" max="7" width="27.54296875" bestFit="1" customWidth="1"/>
    <col min="8" max="8" width="16.54296875" bestFit="1" customWidth="1"/>
    <col min="9" max="9" width="11.54296875" bestFit="1" customWidth="1"/>
    <col min="10" max="10" width="30.36328125" bestFit="1" customWidth="1"/>
    <col min="11" max="11" width="16.54296875" bestFit="1" customWidth="1"/>
    <col min="15" max="15" width="23.7265625" bestFit="1" customWidth="1"/>
    <col min="16" max="16" width="11.6328125" bestFit="1" customWidth="1"/>
    <col min="17" max="17" width="11.7265625" bestFit="1" customWidth="1"/>
    <col min="18" max="18" width="12.7265625" bestFit="1" customWidth="1"/>
  </cols>
  <sheetData>
    <row r="5" spans="1:11" x14ac:dyDescent="0.35">
      <c r="A5" s="28" t="s">
        <v>95</v>
      </c>
      <c r="B5" t="s">
        <v>66</v>
      </c>
      <c r="D5" s="28" t="s">
        <v>94</v>
      </c>
      <c r="E5" t="s">
        <v>66</v>
      </c>
      <c r="G5" s="28" t="s">
        <v>91</v>
      </c>
      <c r="H5" t="s">
        <v>66</v>
      </c>
      <c r="J5" s="28" t="s">
        <v>92</v>
      </c>
      <c r="K5" t="s">
        <v>66</v>
      </c>
    </row>
    <row r="6" spans="1:11" x14ac:dyDescent="0.35">
      <c r="A6" s="29" t="s">
        <v>19</v>
      </c>
      <c r="B6" s="8">
        <v>72000</v>
      </c>
      <c r="D6" s="29" t="s">
        <v>21</v>
      </c>
      <c r="E6" s="8">
        <v>26000</v>
      </c>
      <c r="G6" s="29" t="s">
        <v>68</v>
      </c>
      <c r="H6" s="8">
        <v>58000</v>
      </c>
      <c r="J6" s="29" t="s">
        <v>14</v>
      </c>
      <c r="K6" s="8">
        <v>809000</v>
      </c>
    </row>
    <row r="7" spans="1:11" x14ac:dyDescent="0.35">
      <c r="A7" s="29" t="s">
        <v>16</v>
      </c>
      <c r="B7" s="8">
        <v>115000</v>
      </c>
      <c r="D7" s="29" t="s">
        <v>13</v>
      </c>
      <c r="E7" s="8">
        <v>370000</v>
      </c>
      <c r="G7" s="29" t="s">
        <v>69</v>
      </c>
      <c r="H7" s="8">
        <v>62000</v>
      </c>
      <c r="J7" s="29" t="s">
        <v>65</v>
      </c>
      <c r="K7" s="8">
        <v>809000</v>
      </c>
    </row>
    <row r="8" spans="1:11" x14ac:dyDescent="0.35">
      <c r="A8" s="29" t="s">
        <v>11</v>
      </c>
      <c r="B8" s="8">
        <v>276000</v>
      </c>
      <c r="D8" s="29" t="s">
        <v>17</v>
      </c>
      <c r="E8" s="8">
        <v>126000</v>
      </c>
      <c r="G8" s="29" t="s">
        <v>70</v>
      </c>
      <c r="H8" s="8">
        <v>130000</v>
      </c>
    </row>
    <row r="9" spans="1:11" x14ac:dyDescent="0.35">
      <c r="A9" s="29" t="s">
        <v>26</v>
      </c>
      <c r="B9" s="8">
        <v>88000</v>
      </c>
      <c r="D9" s="29" t="s">
        <v>30</v>
      </c>
      <c r="E9" s="8">
        <v>287000</v>
      </c>
      <c r="G9" s="29" t="s">
        <v>73</v>
      </c>
      <c r="H9" s="8">
        <v>75000</v>
      </c>
    </row>
    <row r="10" spans="1:11" x14ac:dyDescent="0.35">
      <c r="A10" s="29" t="s">
        <v>23</v>
      </c>
      <c r="B10" s="8">
        <v>258000</v>
      </c>
      <c r="D10" s="29" t="s">
        <v>65</v>
      </c>
      <c r="E10" s="8">
        <v>809000</v>
      </c>
      <c r="G10" s="29" t="s">
        <v>75</v>
      </c>
      <c r="H10" s="8">
        <v>68000</v>
      </c>
    </row>
    <row r="11" spans="1:11" x14ac:dyDescent="0.35">
      <c r="A11" s="29" t="s">
        <v>65</v>
      </c>
      <c r="B11" s="8">
        <v>809000</v>
      </c>
      <c r="G11" s="29" t="s">
        <v>77</v>
      </c>
      <c r="H11" s="8">
        <v>72000</v>
      </c>
      <c r="J11" s="28" t="s">
        <v>93</v>
      </c>
      <c r="K11" t="s">
        <v>66</v>
      </c>
    </row>
    <row r="12" spans="1:11" x14ac:dyDescent="0.35">
      <c r="G12" s="29" t="s">
        <v>78</v>
      </c>
      <c r="H12" s="8">
        <v>125000</v>
      </c>
      <c r="J12" s="29" t="s">
        <v>27</v>
      </c>
      <c r="K12" s="8">
        <v>88000</v>
      </c>
    </row>
    <row r="13" spans="1:11" x14ac:dyDescent="0.35">
      <c r="G13" s="29" t="s">
        <v>79</v>
      </c>
      <c r="H13" s="8">
        <v>26000</v>
      </c>
      <c r="J13" s="29" t="s">
        <v>20</v>
      </c>
      <c r="K13" s="8">
        <v>72000</v>
      </c>
    </row>
    <row r="14" spans="1:11" x14ac:dyDescent="0.35">
      <c r="G14" s="29" t="s">
        <v>80</v>
      </c>
      <c r="H14" s="8">
        <v>78000</v>
      </c>
      <c r="J14" s="29" t="s">
        <v>24</v>
      </c>
      <c r="K14" s="8">
        <v>258000</v>
      </c>
    </row>
    <row r="15" spans="1:11" x14ac:dyDescent="0.35">
      <c r="G15" s="29" t="s">
        <v>81</v>
      </c>
      <c r="H15" s="8">
        <v>115000</v>
      </c>
      <c r="J15" s="29" t="s">
        <v>12</v>
      </c>
      <c r="K15" s="8">
        <v>391000</v>
      </c>
    </row>
    <row r="16" spans="1:11" x14ac:dyDescent="0.35">
      <c r="G16" s="29" t="s">
        <v>65</v>
      </c>
      <c r="H16" s="8">
        <v>809000</v>
      </c>
      <c r="J16" s="29" t="s">
        <v>65</v>
      </c>
      <c r="K16" s="8">
        <v>809000</v>
      </c>
    </row>
    <row r="26" spans="1:7" x14ac:dyDescent="0.35">
      <c r="A26" s="50"/>
      <c r="B26" s="45"/>
      <c r="C26" s="45"/>
      <c r="D26" s="45"/>
      <c r="E26" s="45"/>
      <c r="G26" s="45"/>
    </row>
    <row r="27" spans="1:7" ht="18.5" x14ac:dyDescent="0.45">
      <c r="B27" s="40"/>
      <c r="D27" s="36"/>
    </row>
    <row r="28" spans="1:7" ht="18.5" x14ac:dyDescent="0.45">
      <c r="B28" s="41"/>
      <c r="D28" s="37"/>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CE48-83D4-40F9-8BE3-3BF91F3EC658}">
  <dimension ref="C1:O11"/>
  <sheetViews>
    <sheetView tabSelected="1" zoomScale="33" zoomScaleNormal="25" workbookViewId="0">
      <selection activeCell="K31" sqref="K31"/>
    </sheetView>
  </sheetViews>
  <sheetFormatPr defaultRowHeight="14.5" x14ac:dyDescent="0.35"/>
  <cols>
    <col min="3" max="3" width="18.54296875" bestFit="1" customWidth="1"/>
    <col min="4" max="4" width="18.54296875" customWidth="1"/>
    <col min="5" max="5" width="20.1796875" bestFit="1" customWidth="1"/>
    <col min="6" max="6" width="13.36328125" customWidth="1"/>
    <col min="7" max="7" width="40.54296875" bestFit="1" customWidth="1"/>
    <col min="8" max="8" width="12.36328125" customWidth="1"/>
    <col min="9" max="9" width="24.08984375" bestFit="1" customWidth="1"/>
    <col min="10" max="10" width="20.54296875" bestFit="1" customWidth="1"/>
    <col min="11" max="11" width="12.7265625" bestFit="1" customWidth="1"/>
    <col min="12" max="12" width="16.453125" bestFit="1" customWidth="1"/>
    <col min="13" max="13" width="14" bestFit="1" customWidth="1"/>
  </cols>
  <sheetData>
    <row r="1" spans="3:15" ht="28.5" x14ac:dyDescent="0.35">
      <c r="C1" s="51" t="s">
        <v>86</v>
      </c>
      <c r="D1" s="51"/>
      <c r="E1" s="51"/>
      <c r="F1" s="51"/>
      <c r="G1" s="51"/>
      <c r="H1" s="51"/>
      <c r="I1" s="51"/>
      <c r="J1" s="51"/>
      <c r="K1" s="32"/>
      <c r="L1" s="32"/>
      <c r="M1" s="32"/>
      <c r="N1" s="32"/>
      <c r="O1" s="32"/>
    </row>
    <row r="2" spans="3:15" ht="16" x14ac:dyDescent="0.35">
      <c r="C2" s="52" t="s">
        <v>87</v>
      </c>
      <c r="D2" s="52"/>
      <c r="E2" s="52"/>
      <c r="F2" s="52"/>
      <c r="G2" s="52"/>
      <c r="H2" s="52"/>
      <c r="I2" s="52"/>
      <c r="J2" s="52"/>
      <c r="K2" s="33"/>
      <c r="L2" s="33"/>
      <c r="M2" s="33"/>
      <c r="N2" s="33"/>
      <c r="O2" s="33"/>
    </row>
    <row r="3" spans="3:15" x14ac:dyDescent="0.35">
      <c r="C3" s="45"/>
      <c r="D3" s="45"/>
      <c r="E3" s="45"/>
      <c r="F3" s="45"/>
      <c r="G3" s="45"/>
      <c r="H3" s="45"/>
      <c r="I3" s="45"/>
      <c r="J3" s="45"/>
      <c r="K3" s="33"/>
      <c r="L3" s="33"/>
      <c r="M3" s="33"/>
      <c r="N3" s="33"/>
      <c r="O3" s="33"/>
    </row>
    <row r="4" spans="3:15" ht="15" thickBot="1" x14ac:dyDescent="0.4">
      <c r="C4" s="50"/>
      <c r="D4" s="34"/>
      <c r="E4" s="34"/>
      <c r="F4" s="34"/>
      <c r="G4" s="34"/>
      <c r="I4" s="34"/>
      <c r="J4" s="34"/>
      <c r="K4" s="33"/>
      <c r="L4" s="33"/>
      <c r="M4" s="33"/>
      <c r="N4" s="33"/>
      <c r="O4" s="33"/>
    </row>
    <row r="5" spans="3:15" ht="21.5" thickBot="1" x14ac:dyDescent="0.5">
      <c r="C5" s="44" t="s">
        <v>64</v>
      </c>
      <c r="D5" s="40"/>
      <c r="E5" s="44" t="s">
        <v>88</v>
      </c>
      <c r="F5" s="36"/>
      <c r="G5" s="38" t="s">
        <v>90</v>
      </c>
      <c r="I5" s="38" t="s">
        <v>89</v>
      </c>
      <c r="L5" s="33"/>
      <c r="M5" s="33"/>
      <c r="N5" s="33"/>
      <c r="O5" s="33"/>
    </row>
    <row r="6" spans="3:15" ht="21.5" thickBot="1" x14ac:dyDescent="0.5">
      <c r="C6" s="43">
        <v>809000</v>
      </c>
      <c r="D6" s="41"/>
      <c r="E6" s="43">
        <v>745000</v>
      </c>
      <c r="F6" s="37"/>
      <c r="G6" s="42">
        <v>10.819770229770228</v>
      </c>
      <c r="I6" s="39">
        <v>74</v>
      </c>
    </row>
    <row r="11" spans="3:15" x14ac:dyDescent="0.35">
      <c r="C11" s="35"/>
      <c r="D11" s="35"/>
    </row>
  </sheetData>
  <mergeCells count="2">
    <mergeCell ref="C1:J1"/>
    <mergeCell ref="C2:J2"/>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Data_Cleaning</vt:lpstr>
      <vt:lpstr>MIS_Report</vt: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2026-10-01T05:32:03Z</dcterms:created>
  <dcterms:modified xsi:type="dcterms:W3CDTF">2026-10-02T06:33:38Z</dcterms:modified>
</cp:coreProperties>
</file>